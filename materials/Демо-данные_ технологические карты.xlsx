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Шкаф-купе" sheetId="1" state="visible" r:id="rId3"/>
    <sheet name="2.Тумба прикроватная" sheetId="2" state="visible" r:id="rId4"/>
    <sheet name="3.Стол обеденный" sheetId="3" state="visible" r:id="rId5"/>
    <sheet name="4.Кровать 2-сп." sheetId="4" state="visible" r:id="rId6"/>
    <sheet name="5.Кухонный модуль" sheetId="5" state="visible" r:id="rId7"/>
    <sheet name="6.Комод" sheetId="6" state="visible" r:id="rId8"/>
    <sheet name="7.Кухонный шкаф навесной" sheetId="7" state="visible" r:id="rId9"/>
    <sheet name="8.Шкаф-пенал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<sst xmlns="http://schemas.openxmlformats.org/spreadsheetml/2006/main" count="658" uniqueCount="122">
  <si>
    <t xml:space="preserve">ТЕХНОЛОГИЧЕСКАЯ КАРТА ПРОИЗВОДСТВА</t>
  </si>
  <si>
    <t xml:space="preserve">Изделие:</t>
  </si>
  <si>
    <t xml:space="preserve">Шкаф-купе 2-дверный</t>
  </si>
  <si>
    <t xml:space="preserve">Артикул:</t>
  </si>
  <si>
    <t xml:space="preserve">ШК-2200.1800.600</t>
  </si>
  <si>
    <t xml:space="preserve">Габариты (ВхШхГ):</t>
  </si>
  <si>
    <t xml:space="preserve">2200 (В) х 1800 (Ш) х 600 (Г) мм</t>
  </si>
  <si>
    <t xml:space="preserve">Дата разработки карты:</t>
  </si>
  <si>
    <t xml:space="preserve">20.07.2026</t>
  </si>
  <si>
    <t xml:space="preserve">1. МАТЕРИАЛЫ И ФУРНИТУРА</t>
  </si>
  <si>
    <t xml:space="preserve">№</t>
  </si>
  <si>
    <t xml:space="preserve">Код</t>
  </si>
  <si>
    <t xml:space="preserve">Наименование материала/фурнитуры</t>
  </si>
  <si>
    <t xml:space="preserve">Ед.изм.</t>
  </si>
  <si>
    <t xml:space="preserve">Норма расхода
на 1 изделие</t>
  </si>
  <si>
    <t xml:space="preserve">Цена за ед., руб.
(из прайс-листа)</t>
  </si>
  <si>
    <t xml:space="preserve">Сумма, руб.</t>
  </si>
  <si>
    <t xml:space="preserve">М-001</t>
  </si>
  <si>
    <t xml:space="preserve">ЛДСП 16 мм (декор, 2750х1830)</t>
  </si>
  <si>
    <t xml:space="preserve">м2</t>
  </si>
  <si>
    <t xml:space="preserve">М-003</t>
  </si>
  <si>
    <t xml:space="preserve">ХДФ 3 мм (задняя стенка)</t>
  </si>
  <si>
    <t xml:space="preserve">М-005</t>
  </si>
  <si>
    <t xml:space="preserve">Кромка ПВХ 0.4 мм</t>
  </si>
  <si>
    <t xml:space="preserve">пог.м</t>
  </si>
  <si>
    <t xml:space="preserve">М-006</t>
  </si>
  <si>
    <t xml:space="preserve">Кромка ПВХ 2 мм</t>
  </si>
  <si>
    <t xml:space="preserve">М-013</t>
  </si>
  <si>
    <t xml:space="preserve">Опора мебельная регулируемая</t>
  </si>
  <si>
    <t xml:space="preserve">шт</t>
  </si>
  <si>
    <t xml:space="preserve">М-012</t>
  </si>
  <si>
    <t xml:space="preserve">Конфирмат (евровинт)</t>
  </si>
  <si>
    <t xml:space="preserve">М-011</t>
  </si>
  <si>
    <t xml:space="preserve">Шкант деревянный</t>
  </si>
  <si>
    <t xml:space="preserve">М-015</t>
  </si>
  <si>
    <t xml:space="preserve">Комплект рельс раздвижных (купе)</t>
  </si>
  <si>
    <t xml:space="preserve">компл</t>
  </si>
  <si>
    <t xml:space="preserve">М-016</t>
  </si>
  <si>
    <t xml:space="preserve">Ролики для дверей купе (компл. 4 шт)</t>
  </si>
  <si>
    <t xml:space="preserve">М-019</t>
  </si>
  <si>
    <t xml:space="preserve">Штанга для одежды хром</t>
  </si>
  <si>
    <t xml:space="preserve">М-020</t>
  </si>
  <si>
    <t xml:space="preserve">Крепление для штанги (компл.)</t>
  </si>
  <si>
    <t xml:space="preserve">М-018</t>
  </si>
  <si>
    <t xml:space="preserve">Заглушка декоративная</t>
  </si>
  <si>
    <t xml:space="preserve">Итого материалы:</t>
  </si>
  <si>
    <t xml:space="preserve">2. ТЕХНОЛОГИЧЕСКИЕ ОПЕРАЦИИ</t>
  </si>
  <si>
    <t xml:space="preserve">Технологическая операция</t>
  </si>
  <si>
    <t xml:space="preserve">Норма времени,
час</t>
  </si>
  <si>
    <t xml:space="preserve">Ставка, руб./час
(из прайс-листа)</t>
  </si>
  <si>
    <t xml:space="preserve">Стоимость
операции, руб.</t>
  </si>
  <si>
    <t xml:space="preserve">Р-001</t>
  </si>
  <si>
    <t xml:space="preserve">Раскрой — Раскрой ЛДСП</t>
  </si>
  <si>
    <t xml:space="preserve">Р-002</t>
  </si>
  <si>
    <t xml:space="preserve">Кромление — Кромление</t>
  </si>
  <si>
    <t xml:space="preserve">Р-003</t>
  </si>
  <si>
    <t xml:space="preserve">Присадка/сверловка — Присадка/сверловка отверстий</t>
  </si>
  <si>
    <t xml:space="preserve">Р-004</t>
  </si>
  <si>
    <t xml:space="preserve">Сборка корпуса — Сборка корпусной мебели</t>
  </si>
  <si>
    <t xml:space="preserve">Р-005</t>
  </si>
  <si>
    <t xml:space="preserve">Установка фурнитуры — Установка фурнитуры</t>
  </si>
  <si>
    <t xml:space="preserve">Р-006</t>
  </si>
  <si>
    <t xml:space="preserve">Упаковка — Упаковка готового изделия</t>
  </si>
  <si>
    <t xml:space="preserve">Р-007</t>
  </si>
  <si>
    <t xml:space="preserve">Монтаж на объекте — Сборка/монтаж на объекте у заказчика</t>
  </si>
  <si>
    <t xml:space="preserve">Итого работы:</t>
  </si>
  <si>
    <t xml:space="preserve">3. РАСЧЁТ СЕБЕСТОИМОСТИ И ЦЕНЫ</t>
  </si>
  <si>
    <t xml:space="preserve">Итого материалы, руб.</t>
  </si>
  <si>
    <t xml:space="preserve">Итого работы, руб.</t>
  </si>
  <si>
    <t xml:space="preserve">Прямые затраты, руб.</t>
  </si>
  <si>
    <t xml:space="preserve">Накладные расходы, %</t>
  </si>
  <si>
    <t xml:space="preserve">Накладные расходы, руб.</t>
  </si>
  <si>
    <t xml:space="preserve">Себестоимость изделия, руб.</t>
  </si>
  <si>
    <t xml:space="preserve">Рекомендуемая наценка, %</t>
  </si>
  <si>
    <t xml:space="preserve">Наценка, руб.</t>
  </si>
  <si>
    <t xml:space="preserve">Рекомендованная отпускная цена, руб.</t>
  </si>
  <si>
    <t xml:space="preserve">Примечание: цены материалов/работ (синий шрифт) взяты из файла «Прайс-лист.xlsx» на дату 20.07.2026. Проценты накладных расходов и наценки (жёлтая заливка) — редактируемые допущения.</t>
  </si>
  <si>
    <t xml:space="preserve">Тумба прикроватная</t>
  </si>
  <si>
    <t xml:space="preserve">ТП-450.500.400</t>
  </si>
  <si>
    <t xml:space="preserve">450 (В) х 500 (Ш) х 400 (Г) мм</t>
  </si>
  <si>
    <t xml:space="preserve">М-007</t>
  </si>
  <si>
    <t xml:space="preserve">Направляющие шариковые полного выдвижения (пара)</t>
  </si>
  <si>
    <t xml:space="preserve">М-009</t>
  </si>
  <si>
    <t xml:space="preserve">Ручка мебельная</t>
  </si>
  <si>
    <t xml:space="preserve">Стол обеденный раздвижной</t>
  </si>
  <si>
    <t xml:space="preserve">СТ-1200(1600).800</t>
  </si>
  <si>
    <t xml:space="preserve">750 (В) х 1200/1600 (Ш) х 800 (Г) мм</t>
  </si>
  <si>
    <t xml:space="preserve">М-002</t>
  </si>
  <si>
    <t xml:space="preserve">ЛДСП 18 мм (декор, 2750х1830)</t>
  </si>
  <si>
    <t xml:space="preserve">М-021</t>
  </si>
  <si>
    <t xml:space="preserve">Ножки стола металлические (компл. 4 шт)</t>
  </si>
  <si>
    <t xml:space="preserve">М-022</t>
  </si>
  <si>
    <t xml:space="preserve">Механизм раздвижной для стола</t>
  </si>
  <si>
    <t xml:space="preserve">Кровать двуспальная с подъёмным механизмом</t>
  </si>
  <si>
    <t xml:space="preserve">КР-1600.2000</t>
  </si>
  <si>
    <t xml:space="preserve">900 (В изголовья) х 1600 (Ш) х 2000 (Дл) мм</t>
  </si>
  <si>
    <t xml:space="preserve">М-014</t>
  </si>
  <si>
    <t xml:space="preserve">Газлифт подъёмный для кровати (пара)</t>
  </si>
  <si>
    <t xml:space="preserve">М-023</t>
  </si>
  <si>
    <t xml:space="preserve">Ламель ортопедическая</t>
  </si>
  <si>
    <t xml:space="preserve">М-024</t>
  </si>
  <si>
    <t xml:space="preserve">Каркас-рама для ламелей</t>
  </si>
  <si>
    <t xml:space="preserve">Кухонный нижний модуль (под мойку)</t>
  </si>
  <si>
    <t xml:space="preserve">КМ-600.820.560</t>
  </si>
  <si>
    <t xml:space="preserve">820 (В) х 600 (Ш) х 560 (Г) мм</t>
  </si>
  <si>
    <t xml:space="preserve">М-004</t>
  </si>
  <si>
    <t xml:space="preserve">МДФ фасад крашеный 18 мм</t>
  </si>
  <si>
    <t xml:space="preserve">М-008</t>
  </si>
  <si>
    <t xml:space="preserve">Петля накладная с доводчиком</t>
  </si>
  <si>
    <t xml:space="preserve">Комод 4 ящика</t>
  </si>
  <si>
    <t xml:space="preserve">КМД-800.900.450</t>
  </si>
  <si>
    <t xml:space="preserve">900 (В) х 800 (Ш) х 450 (Г) мм</t>
  </si>
  <si>
    <t xml:space="preserve">Кухонный навесной шкаф (верхний)</t>
  </si>
  <si>
    <t xml:space="preserve">КВ-600.720.300</t>
  </si>
  <si>
    <t xml:space="preserve">720 (В) х 600 (Ш) х 300 (Г) мм</t>
  </si>
  <si>
    <t xml:space="preserve">М-025</t>
  </si>
  <si>
    <t xml:space="preserve">Крепление навесное для шкафа (компл.)</t>
  </si>
  <si>
    <t xml:space="preserve">М-026</t>
  </si>
  <si>
    <t xml:space="preserve">Полкодержатель мебельный</t>
  </si>
  <si>
    <t xml:space="preserve">Шкаф-пенал для одежды (1 дверь)</t>
  </si>
  <si>
    <t xml:space="preserve">ШП-600.2100.550</t>
  </si>
  <si>
    <t xml:space="preserve">2100 (В) х 600 (Ш) х 550 (Г) мм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</si>
</sst>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₽&quot;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17</v>
      </c>
      <c r="C10" s="6" t="s">
        <v>18</v>
      </c>
      <c r="D10" s="5" t="s">
        <v>19</v>
      </c>
      <c r="E10" s="7" t="n">
        <v>8.5</v>
      </c>
      <c r="F10" s="8" t="n">
        <v>850</v>
      </c>
      <c r="G10" s="9" t="n">
        <f aca="false">E10*F10</f>
        <v>7225</v>
      </c>
    </row>
    <row r="11" customFormat="false" ht="15" hidden="false" customHeight="false" outlineLevel="0" collapsed="false">
      <c r="A11" s="5" t="n">
        <v>2</v>
      </c>
      <c r="B11" s="5" t="s">
        <v>20</v>
      </c>
      <c r="C11" s="6" t="s">
        <v>21</v>
      </c>
      <c r="D11" s="5" t="s">
        <v>19</v>
      </c>
      <c r="E11" s="7" t="n">
        <v>1.5</v>
      </c>
      <c r="F11" s="8" t="n">
        <v>220</v>
      </c>
      <c r="G11" s="9" t="n">
        <f aca="false">E11*F11</f>
        <v>330</v>
      </c>
    </row>
    <row r="12" customFormat="false" ht="15" hidden="false" customHeight="false" outlineLevel="0" collapsed="false">
      <c r="A12" s="5" t="n">
        <v>3</v>
      </c>
      <c r="B12" s="5" t="s">
        <v>22</v>
      </c>
      <c r="C12" s="6" t="s">
        <v>23</v>
      </c>
      <c r="D12" s="5" t="s">
        <v>24</v>
      </c>
      <c r="E12" s="7" t="n">
        <v>45</v>
      </c>
      <c r="F12" s="8" t="n">
        <v>15</v>
      </c>
      <c r="G12" s="9" t="n">
        <f aca="false">E12*F12</f>
        <v>675</v>
      </c>
    </row>
    <row r="13" customFormat="false" ht="15" hidden="false" customHeight="false" outlineLevel="0" collapsed="false">
      <c r="A13" s="5" t="n">
        <v>4</v>
      </c>
      <c r="B13" s="5" t="s">
        <v>25</v>
      </c>
      <c r="C13" s="6" t="s">
        <v>26</v>
      </c>
      <c r="D13" s="5" t="s">
        <v>24</v>
      </c>
      <c r="E13" s="7" t="n">
        <v>12</v>
      </c>
      <c r="F13" s="8" t="n">
        <v>45</v>
      </c>
      <c r="G13" s="9" t="n">
        <f aca="false">E13*F13</f>
        <v>540</v>
      </c>
    </row>
    <row r="14" customFormat="false" ht="15" hidden="false" customHeight="false" outlineLevel="0" collapsed="false">
      <c r="A14" s="5" t="n">
        <v>5</v>
      </c>
      <c r="B14" s="5" t="s">
        <v>27</v>
      </c>
      <c r="C14" s="6" t="s">
        <v>28</v>
      </c>
      <c r="D14" s="5" t="s">
        <v>29</v>
      </c>
      <c r="E14" s="7" t="n">
        <v>6</v>
      </c>
      <c r="F14" s="8" t="n">
        <v>35</v>
      </c>
      <c r="G14" s="9" t="n">
        <f aca="false">E14*F14</f>
        <v>210</v>
      </c>
    </row>
    <row r="15" customFormat="false" ht="15" hidden="false" customHeight="false" outlineLevel="0" collapsed="false">
      <c r="A15" s="5" t="n">
        <v>6</v>
      </c>
      <c r="B15" s="5" t="s">
        <v>30</v>
      </c>
      <c r="C15" s="6" t="s">
        <v>31</v>
      </c>
      <c r="D15" s="5" t="s">
        <v>29</v>
      </c>
      <c r="E15" s="7" t="n">
        <v>40</v>
      </c>
      <c r="F15" s="8" t="n">
        <v>5</v>
      </c>
      <c r="G15" s="9" t="n">
        <f aca="false">E15*F15</f>
        <v>200</v>
      </c>
    </row>
    <row r="16" customFormat="false" ht="15" hidden="false" customHeight="false" outlineLevel="0" collapsed="false">
      <c r="A16" s="5" t="n">
        <v>7</v>
      </c>
      <c r="B16" s="5" t="s">
        <v>32</v>
      </c>
      <c r="C16" s="6" t="s">
        <v>33</v>
      </c>
      <c r="D16" s="5" t="s">
        <v>29</v>
      </c>
      <c r="E16" s="7" t="n">
        <v>20</v>
      </c>
      <c r="F16" s="8" t="n">
        <v>3</v>
      </c>
      <c r="G16" s="9" t="n">
        <f aca="false">E16*F16</f>
        <v>60</v>
      </c>
    </row>
    <row r="17" customFormat="false" ht="15" hidden="false" customHeight="false" outlineLevel="0" collapsed="false">
      <c r="A17" s="5" t="n">
        <v>8</v>
      </c>
      <c r="B17" s="5" t="s">
        <v>34</v>
      </c>
      <c r="C17" s="6" t="s">
        <v>35</v>
      </c>
      <c r="D17" s="5" t="s">
        <v>36</v>
      </c>
      <c r="E17" s="7" t="n">
        <v>1</v>
      </c>
      <c r="F17" s="8" t="n">
        <v>2500</v>
      </c>
      <c r="G17" s="9" t="n">
        <f aca="false">E17*F17</f>
        <v>2500</v>
      </c>
    </row>
    <row r="18" customFormat="false" ht="15" hidden="false" customHeight="false" outlineLevel="0" collapsed="false">
      <c r="A18" s="5" t="n">
        <v>9</v>
      </c>
      <c r="B18" s="5" t="s">
        <v>37</v>
      </c>
      <c r="C18" s="6" t="s">
        <v>38</v>
      </c>
      <c r="D18" s="5" t="s">
        <v>36</v>
      </c>
      <c r="E18" s="7" t="n">
        <v>2</v>
      </c>
      <c r="F18" s="8" t="n">
        <v>600</v>
      </c>
      <c r="G18" s="9" t="n">
        <f aca="false">E18*F18</f>
        <v>1200</v>
      </c>
    </row>
    <row r="19" customFormat="false" ht="15" hidden="false" customHeight="false" outlineLevel="0" collapsed="false">
      <c r="A19" s="5" t="n">
        <v>10</v>
      </c>
      <c r="B19" s="5" t="s">
        <v>39</v>
      </c>
      <c r="C19" s="6" t="s">
        <v>40</v>
      </c>
      <c r="D19" s="5" t="s">
        <v>29</v>
      </c>
      <c r="E19" s="7" t="n">
        <v>2</v>
      </c>
      <c r="F19" s="8" t="n">
        <v>350</v>
      </c>
      <c r="G19" s="9" t="n">
        <f aca="false">E19*F19</f>
        <v>700</v>
      </c>
    </row>
    <row r="20" customFormat="false" ht="15" hidden="false" customHeight="false" outlineLevel="0" collapsed="false">
      <c r="A20" s="5" t="n">
        <v>11</v>
      </c>
      <c r="B20" s="5" t="s">
        <v>41</v>
      </c>
      <c r="C20" s="6" t="s">
        <v>42</v>
      </c>
      <c r="D20" s="5" t="s">
        <v>36</v>
      </c>
      <c r="E20" s="7" t="n">
        <v>2</v>
      </c>
      <c r="F20" s="8" t="n">
        <v>150</v>
      </c>
      <c r="G20" s="9" t="n">
        <f aca="false">E20*F20</f>
        <v>300</v>
      </c>
    </row>
    <row r="21" customFormat="false" ht="15" hidden="false" customHeight="false" outlineLevel="0" collapsed="false">
      <c r="A21" s="5" t="n">
        <v>12</v>
      </c>
      <c r="B21" s="5" t="s">
        <v>43</v>
      </c>
      <c r="C21" s="6" t="s">
        <v>44</v>
      </c>
      <c r="D21" s="5" t="s">
        <v>29</v>
      </c>
      <c r="E21" s="7" t="n">
        <v>40</v>
      </c>
      <c r="F21" s="8" t="n">
        <v>3</v>
      </c>
      <c r="G21" s="9" t="n">
        <f aca="false">E21*F21</f>
        <v>120</v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1" t="s">
        <v>45</v>
      </c>
      <c r="G22" s="12" t="n">
        <f aca="false">SUM(G10:G21)</f>
        <v>14060</v>
      </c>
    </row>
    <row r="24" customFormat="false" ht="15" hidden="false" customHeight="false" outlineLevel="0" collapsed="false">
      <c r="A24" s="2" t="s">
        <v>46</v>
      </c>
    </row>
    <row r="25" customFormat="false" ht="52.2" hidden="false" customHeight="false" outlineLevel="0" collapsed="false">
      <c r="A25" s="4" t="s">
        <v>10</v>
      </c>
      <c r="B25" s="4" t="s">
        <v>11</v>
      </c>
      <c r="C25" s="4" t="s">
        <v>47</v>
      </c>
      <c r="D25" s="4" t="s">
        <v>48</v>
      </c>
      <c r="E25" s="4" t="s">
        <v>49</v>
      </c>
      <c r="F25" s="4" t="s">
        <v>50</v>
      </c>
    </row>
    <row r="26" customFormat="false" ht="15" hidden="false" customHeight="false" outlineLevel="0" collapsed="false">
      <c r="A26" s="5" t="n">
        <v>1</v>
      </c>
      <c r="B26" s="5" t="s">
        <v>51</v>
      </c>
      <c r="C26" s="6" t="s">
        <v>52</v>
      </c>
      <c r="D26" s="7" t="n">
        <v>1.5</v>
      </c>
      <c r="E26" s="8" t="n">
        <v>900</v>
      </c>
      <c r="F26" s="9" t="n">
        <f aca="false">D26*E26</f>
        <v>1350</v>
      </c>
    </row>
    <row r="27" customFormat="false" ht="15" hidden="false" customHeight="false" outlineLevel="0" collapsed="false">
      <c r="A27" s="5" t="n">
        <v>2</v>
      </c>
      <c r="B27" s="5" t="s">
        <v>53</v>
      </c>
      <c r="C27" s="6" t="s">
        <v>54</v>
      </c>
      <c r="D27" s="7" t="n">
        <v>1.2</v>
      </c>
      <c r="E27" s="8" t="n">
        <v>800</v>
      </c>
      <c r="F27" s="9" t="n">
        <f aca="false">D27*E27</f>
        <v>960</v>
      </c>
    </row>
    <row r="28" customFormat="false" ht="15" hidden="false" customHeight="false" outlineLevel="0" collapsed="false">
      <c r="A28" s="5" t="n">
        <v>3</v>
      </c>
      <c r="B28" s="5" t="s">
        <v>55</v>
      </c>
      <c r="C28" s="6" t="s">
        <v>56</v>
      </c>
      <c r="D28" s="7" t="n">
        <v>1</v>
      </c>
      <c r="E28" s="8" t="n">
        <v>850</v>
      </c>
      <c r="F28" s="9" t="n">
        <f aca="false">D28*E28</f>
        <v>850</v>
      </c>
    </row>
    <row r="29" customFormat="false" ht="15" hidden="false" customHeight="false" outlineLevel="0" collapsed="false">
      <c r="A29" s="5" t="n">
        <v>4</v>
      </c>
      <c r="B29" s="5" t="s">
        <v>57</v>
      </c>
      <c r="C29" s="6" t="s">
        <v>58</v>
      </c>
      <c r="D29" s="7" t="n">
        <v>3.5</v>
      </c>
      <c r="E29" s="8" t="n">
        <v>700</v>
      </c>
      <c r="F29" s="9" t="n">
        <f aca="false">D29*E29</f>
        <v>2450</v>
      </c>
    </row>
    <row r="30" customFormat="false" ht="15" hidden="false" customHeight="false" outlineLevel="0" collapsed="false">
      <c r="A30" s="5" t="n">
        <v>5</v>
      </c>
      <c r="B30" s="5" t="s">
        <v>59</v>
      </c>
      <c r="C30" s="6" t="s">
        <v>60</v>
      </c>
      <c r="D30" s="7" t="n">
        <v>2</v>
      </c>
      <c r="E30" s="8" t="n">
        <v>700</v>
      </c>
      <c r="F30" s="9" t="n">
        <f aca="false">D30*E30</f>
        <v>1400</v>
      </c>
    </row>
    <row r="31" customFormat="false" ht="15" hidden="false" customHeight="false" outlineLevel="0" collapsed="false">
      <c r="A31" s="5" t="n">
        <v>6</v>
      </c>
      <c r="B31" s="5" t="s">
        <v>61</v>
      </c>
      <c r="C31" s="6" t="s">
        <v>62</v>
      </c>
      <c r="D31" s="7" t="n">
        <v>0.5</v>
      </c>
      <c r="E31" s="8" t="n">
        <v>500</v>
      </c>
      <c r="F31" s="9" t="n">
        <f aca="false">D31*E31</f>
        <v>250</v>
      </c>
    </row>
    <row r="32" customFormat="false" ht="15" hidden="false" customHeight="false" outlineLevel="0" collapsed="false">
      <c r="A32" s="5" t="n">
        <v>7</v>
      </c>
      <c r="B32" s="5" t="s">
        <v>63</v>
      </c>
      <c r="C32" s="6" t="s">
        <v>64</v>
      </c>
      <c r="D32" s="7" t="n">
        <v>2.5</v>
      </c>
      <c r="E32" s="8" t="n">
        <v>900</v>
      </c>
      <c r="F32" s="9" t="n">
        <f aca="false">D32*E32</f>
        <v>2250</v>
      </c>
    </row>
    <row r="33" customFormat="false" ht="15" hidden="false" customHeight="false" outlineLevel="0" collapsed="false">
      <c r="A33" s="10"/>
      <c r="B33" s="10"/>
      <c r="C33" s="10"/>
      <c r="D33" s="10"/>
      <c r="E33" s="11" t="s">
        <v>65</v>
      </c>
      <c r="F33" s="12" t="n">
        <f aca="false">SUM(F26:F32)</f>
        <v>9510</v>
      </c>
    </row>
    <row r="35" customFormat="false" ht="15" hidden="false" customHeight="false" outlineLevel="0" collapsed="false">
      <c r="A35" s="2" t="s">
        <v>66</v>
      </c>
    </row>
    <row r="36" customFormat="false" ht="15" hidden="false" customHeight="false" outlineLevel="0" collapsed="false">
      <c r="A36" s="13" t="s">
        <v>67</v>
      </c>
      <c r="B36" s="13"/>
      <c r="C36" s="13"/>
      <c r="D36" s="13"/>
      <c r="E36" s="9" t="n">
        <f aca="false">G22</f>
        <v>14060</v>
      </c>
      <c r="F36" s="9"/>
    </row>
    <row r="37" customFormat="false" ht="15" hidden="false" customHeight="false" outlineLevel="0" collapsed="false">
      <c r="A37" s="13" t="s">
        <v>68</v>
      </c>
      <c r="B37" s="13"/>
      <c r="C37" s="13"/>
      <c r="D37" s="13"/>
      <c r="E37" s="9" t="n">
        <f aca="false">F33</f>
        <v>9510</v>
      </c>
      <c r="F37" s="9"/>
    </row>
    <row r="38" customFormat="false" ht="15" hidden="false" customHeight="false" outlineLevel="0" collapsed="false">
      <c r="A38" s="13" t="s">
        <v>69</v>
      </c>
      <c r="B38" s="13"/>
      <c r="C38" s="13"/>
      <c r="D38" s="13"/>
      <c r="E38" s="9" t="n">
        <f aca="false">E36+E37</f>
        <v>23570</v>
      </c>
      <c r="F38" s="9"/>
    </row>
    <row r="39" customFormat="false" ht="15" hidden="false" customHeight="false" outlineLevel="0" collapsed="false">
      <c r="A39" s="13" t="s">
        <v>70</v>
      </c>
      <c r="B39" s="13"/>
      <c r="C39" s="13"/>
      <c r="D39" s="13"/>
      <c r="E39" s="14" t="n">
        <v>0.15</v>
      </c>
      <c r="F39" s="14"/>
    </row>
    <row r="40" customFormat="false" ht="15" hidden="false" customHeight="false" outlineLevel="0" collapsed="false">
      <c r="A40" s="13" t="s">
        <v>71</v>
      </c>
      <c r="B40" s="13"/>
      <c r="C40" s="13"/>
      <c r="D40" s="13"/>
      <c r="E40" s="9" t="n">
        <f aca="false">E38*E39</f>
        <v>3535.5</v>
      </c>
      <c r="F40" s="9"/>
    </row>
    <row r="41" customFormat="false" ht="15" hidden="false" customHeight="false" outlineLevel="0" collapsed="false">
      <c r="A41" s="15" t="s">
        <v>72</v>
      </c>
      <c r="B41" s="15"/>
      <c r="C41" s="15"/>
      <c r="D41" s="15"/>
      <c r="E41" s="16" t="n">
        <f aca="false">E38+E40</f>
        <v>27105.5</v>
      </c>
      <c r="F41" s="16"/>
    </row>
    <row r="42" customFormat="false" ht="15" hidden="false" customHeight="false" outlineLevel="0" collapsed="false">
      <c r="A42" s="13" t="s">
        <v>73</v>
      </c>
      <c r="B42" s="13"/>
      <c r="C42" s="13"/>
      <c r="D42" s="13"/>
      <c r="E42" s="14" t="n">
        <v>0.35</v>
      </c>
      <c r="F42" s="14"/>
    </row>
    <row r="43" customFormat="false" ht="15" hidden="false" customHeight="false" outlineLevel="0" collapsed="false">
      <c r="A43" s="13" t="s">
        <v>74</v>
      </c>
      <c r="B43" s="13"/>
      <c r="C43" s="13"/>
      <c r="D43" s="13"/>
      <c r="E43" s="9" t="n">
        <f aca="false">E41*E42</f>
        <v>9486.925</v>
      </c>
      <c r="F43" s="9"/>
    </row>
    <row r="44" customFormat="false" ht="15" hidden="false" customHeight="false" outlineLevel="0" collapsed="false">
      <c r="A44" s="17" t="s">
        <v>75</v>
      </c>
      <c r="B44" s="17"/>
      <c r="C44" s="17"/>
      <c r="D44" s="17"/>
      <c r="E44" s="18" t="n">
        <f aca="false">E41+E43</f>
        <v>36592.425</v>
      </c>
      <c r="F44" s="18"/>
    </row>
    <row r="46" customFormat="false" ht="30" hidden="false" customHeight="true" outlineLevel="0" collapsed="false">
      <c r="A46" s="19" t="s">
        <v>76</v>
      </c>
      <c r="B46" s="19"/>
      <c r="C46" s="19"/>
      <c r="D46" s="19"/>
      <c r="E46" s="19"/>
      <c r="F46" s="19"/>
      <c r="G46" s="19"/>
    </row>
  </sheetData>
  <mergeCells count="24">
    <mergeCell ref="A1:G1"/>
    <mergeCell ref="B3:D3"/>
    <mergeCell ref="B4:D4"/>
    <mergeCell ref="B5:D5"/>
    <mergeCell ref="B6:D6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77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78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79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17</v>
      </c>
      <c r="C10" s="6" t="s">
        <v>18</v>
      </c>
      <c r="D10" s="5" t="s">
        <v>19</v>
      </c>
      <c r="E10" s="7" t="n">
        <v>1.4</v>
      </c>
      <c r="F10" s="8" t="n">
        <v>850</v>
      </c>
      <c r="G10" s="9" t="n">
        <f aca="false">E10*F10</f>
        <v>1190</v>
      </c>
    </row>
    <row r="11" customFormat="false" ht="15" hidden="false" customHeight="false" outlineLevel="0" collapsed="false">
      <c r="A11" s="5" t="n">
        <v>2</v>
      </c>
      <c r="B11" s="5" t="s">
        <v>20</v>
      </c>
      <c r="C11" s="6" t="s">
        <v>21</v>
      </c>
      <c r="D11" s="5" t="s">
        <v>19</v>
      </c>
      <c r="E11" s="7" t="n">
        <v>0.3</v>
      </c>
      <c r="F11" s="8" t="n">
        <v>220</v>
      </c>
      <c r="G11" s="9" t="n">
        <f aca="false">E11*F11</f>
        <v>66</v>
      </c>
    </row>
    <row r="12" customFormat="false" ht="15" hidden="false" customHeight="false" outlineLevel="0" collapsed="false">
      <c r="A12" s="5" t="n">
        <v>3</v>
      </c>
      <c r="B12" s="5" t="s">
        <v>22</v>
      </c>
      <c r="C12" s="6" t="s">
        <v>23</v>
      </c>
      <c r="D12" s="5" t="s">
        <v>24</v>
      </c>
      <c r="E12" s="7" t="n">
        <v>8</v>
      </c>
      <c r="F12" s="8" t="n">
        <v>15</v>
      </c>
      <c r="G12" s="9" t="n">
        <f aca="false">E12*F12</f>
        <v>120</v>
      </c>
    </row>
    <row r="13" customFormat="false" ht="15" hidden="false" customHeight="false" outlineLevel="0" collapsed="false">
      <c r="A13" s="5" t="n">
        <v>4</v>
      </c>
      <c r="B13" s="5" t="s">
        <v>25</v>
      </c>
      <c r="C13" s="6" t="s">
        <v>26</v>
      </c>
      <c r="D13" s="5" t="s">
        <v>24</v>
      </c>
      <c r="E13" s="7" t="n">
        <v>2</v>
      </c>
      <c r="F13" s="8" t="n">
        <v>45</v>
      </c>
      <c r="G13" s="9" t="n">
        <f aca="false">E13*F13</f>
        <v>90</v>
      </c>
    </row>
    <row r="14" customFormat="false" ht="15" hidden="false" customHeight="false" outlineLevel="0" collapsed="false">
      <c r="A14" s="5" t="n">
        <v>5</v>
      </c>
      <c r="B14" s="5" t="s">
        <v>80</v>
      </c>
      <c r="C14" s="6" t="s">
        <v>81</v>
      </c>
      <c r="D14" s="5" t="s">
        <v>36</v>
      </c>
      <c r="E14" s="7" t="n">
        <v>1</v>
      </c>
      <c r="F14" s="8" t="n">
        <v>450</v>
      </c>
      <c r="G14" s="9" t="n">
        <f aca="false">E14*F14</f>
        <v>450</v>
      </c>
    </row>
    <row r="15" customFormat="false" ht="15" hidden="false" customHeight="false" outlineLevel="0" collapsed="false">
      <c r="A15" s="5" t="n">
        <v>6</v>
      </c>
      <c r="B15" s="5" t="s">
        <v>82</v>
      </c>
      <c r="C15" s="6" t="s">
        <v>83</v>
      </c>
      <c r="D15" s="5" t="s">
        <v>29</v>
      </c>
      <c r="E15" s="7" t="n">
        <v>1</v>
      </c>
      <c r="F15" s="8" t="n">
        <v>120</v>
      </c>
      <c r="G15" s="9" t="n">
        <f aca="false">E15*F15</f>
        <v>120</v>
      </c>
    </row>
    <row r="16" customFormat="false" ht="15" hidden="false" customHeight="false" outlineLevel="0" collapsed="false">
      <c r="A16" s="5" t="n">
        <v>7</v>
      </c>
      <c r="B16" s="5" t="s">
        <v>27</v>
      </c>
      <c r="C16" s="6" t="s">
        <v>28</v>
      </c>
      <c r="D16" s="5" t="s">
        <v>29</v>
      </c>
      <c r="E16" s="7" t="n">
        <v>4</v>
      </c>
      <c r="F16" s="8" t="n">
        <v>35</v>
      </c>
      <c r="G16" s="9" t="n">
        <f aca="false">E16*F16</f>
        <v>140</v>
      </c>
    </row>
    <row r="17" customFormat="false" ht="15" hidden="false" customHeight="false" outlineLevel="0" collapsed="false">
      <c r="A17" s="5" t="n">
        <v>8</v>
      </c>
      <c r="B17" s="5" t="s">
        <v>30</v>
      </c>
      <c r="C17" s="6" t="s">
        <v>31</v>
      </c>
      <c r="D17" s="5" t="s">
        <v>29</v>
      </c>
      <c r="E17" s="7" t="n">
        <v>12</v>
      </c>
      <c r="F17" s="8" t="n">
        <v>5</v>
      </c>
      <c r="G17" s="9" t="n">
        <f aca="false">E17*F17</f>
        <v>60</v>
      </c>
    </row>
    <row r="18" customFormat="false" ht="15" hidden="false" customHeight="false" outlineLevel="0" collapsed="false">
      <c r="A18" s="5" t="n">
        <v>9</v>
      </c>
      <c r="B18" s="5" t="s">
        <v>32</v>
      </c>
      <c r="C18" s="6" t="s">
        <v>33</v>
      </c>
      <c r="D18" s="5" t="s">
        <v>29</v>
      </c>
      <c r="E18" s="7" t="n">
        <v>8</v>
      </c>
      <c r="F18" s="8" t="n">
        <v>3</v>
      </c>
      <c r="G18" s="9" t="n">
        <f aca="false">E18*F18</f>
        <v>24</v>
      </c>
    </row>
    <row r="19" customFormat="false" ht="15" hidden="false" customHeight="false" outlineLevel="0" collapsed="false">
      <c r="A19" s="5" t="n">
        <v>10</v>
      </c>
      <c r="B19" s="5" t="s">
        <v>43</v>
      </c>
      <c r="C19" s="6" t="s">
        <v>44</v>
      </c>
      <c r="D19" s="5" t="s">
        <v>29</v>
      </c>
      <c r="E19" s="7" t="n">
        <v>12</v>
      </c>
      <c r="F19" s="8" t="n">
        <v>3</v>
      </c>
      <c r="G19" s="9" t="n">
        <f aca="false">E19*F19</f>
        <v>36</v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1" t="s">
        <v>45</v>
      </c>
      <c r="G20" s="12" t="n">
        <f aca="false">SUM(G10:G19)</f>
        <v>2296</v>
      </c>
    </row>
    <row r="22" customFormat="false" ht="15" hidden="false" customHeight="false" outlineLevel="0" collapsed="false">
      <c r="A22" s="2" t="s">
        <v>46</v>
      </c>
    </row>
    <row r="23" customFormat="false" ht="52.2" hidden="false" customHeight="false" outlineLevel="0" collapsed="false">
      <c r="A23" s="4" t="s">
        <v>10</v>
      </c>
      <c r="B23" s="4" t="s">
        <v>11</v>
      </c>
      <c r="C23" s="4" t="s">
        <v>47</v>
      </c>
      <c r="D23" s="4" t="s">
        <v>48</v>
      </c>
      <c r="E23" s="4" t="s">
        <v>49</v>
      </c>
      <c r="F23" s="4" t="s">
        <v>50</v>
      </c>
    </row>
    <row r="24" customFormat="false" ht="15" hidden="false" customHeight="false" outlineLevel="0" collapsed="false">
      <c r="A24" s="5" t="n">
        <v>1</v>
      </c>
      <c r="B24" s="5" t="s">
        <v>51</v>
      </c>
      <c r="C24" s="6" t="s">
        <v>52</v>
      </c>
      <c r="D24" s="7" t="n">
        <v>0.3</v>
      </c>
      <c r="E24" s="8" t="n">
        <v>900</v>
      </c>
      <c r="F24" s="9" t="n">
        <f aca="false">D24*E24</f>
        <v>270</v>
      </c>
    </row>
    <row r="25" customFormat="false" ht="15" hidden="false" customHeight="false" outlineLevel="0" collapsed="false">
      <c r="A25" s="5" t="n">
        <v>2</v>
      </c>
      <c r="B25" s="5" t="s">
        <v>53</v>
      </c>
      <c r="C25" s="6" t="s">
        <v>54</v>
      </c>
      <c r="D25" s="7" t="n">
        <v>0.25</v>
      </c>
      <c r="E25" s="8" t="n">
        <v>800</v>
      </c>
      <c r="F25" s="9" t="n">
        <f aca="false">D25*E25</f>
        <v>200</v>
      </c>
    </row>
    <row r="26" customFormat="false" ht="15" hidden="false" customHeight="false" outlineLevel="0" collapsed="false">
      <c r="A26" s="5" t="n">
        <v>3</v>
      </c>
      <c r="B26" s="5" t="s">
        <v>55</v>
      </c>
      <c r="C26" s="6" t="s">
        <v>56</v>
      </c>
      <c r="D26" s="7" t="n">
        <v>0.2</v>
      </c>
      <c r="E26" s="8" t="n">
        <v>850</v>
      </c>
      <c r="F26" s="9" t="n">
        <f aca="false">D26*E26</f>
        <v>170</v>
      </c>
    </row>
    <row r="27" customFormat="false" ht="15" hidden="false" customHeight="false" outlineLevel="0" collapsed="false">
      <c r="A27" s="5" t="n">
        <v>4</v>
      </c>
      <c r="B27" s="5" t="s">
        <v>57</v>
      </c>
      <c r="C27" s="6" t="s">
        <v>58</v>
      </c>
      <c r="D27" s="7" t="n">
        <v>0.6</v>
      </c>
      <c r="E27" s="8" t="n">
        <v>700</v>
      </c>
      <c r="F27" s="9" t="n">
        <f aca="false">D27*E27</f>
        <v>420</v>
      </c>
    </row>
    <row r="28" customFormat="false" ht="15" hidden="false" customHeight="false" outlineLevel="0" collapsed="false">
      <c r="A28" s="5" t="n">
        <v>5</v>
      </c>
      <c r="B28" s="5" t="s">
        <v>59</v>
      </c>
      <c r="C28" s="6" t="s">
        <v>60</v>
      </c>
      <c r="D28" s="7" t="n">
        <v>0.3</v>
      </c>
      <c r="E28" s="8" t="n">
        <v>700</v>
      </c>
      <c r="F28" s="9" t="n">
        <f aca="false">D28*E28</f>
        <v>210</v>
      </c>
    </row>
    <row r="29" customFormat="false" ht="15" hidden="false" customHeight="false" outlineLevel="0" collapsed="false">
      <c r="A29" s="5" t="n">
        <v>6</v>
      </c>
      <c r="B29" s="5" t="s">
        <v>61</v>
      </c>
      <c r="C29" s="6" t="s">
        <v>62</v>
      </c>
      <c r="D29" s="7" t="n">
        <v>0.15</v>
      </c>
      <c r="E29" s="8" t="n">
        <v>500</v>
      </c>
      <c r="F29" s="9" t="n">
        <f aca="false">D29*E29</f>
        <v>75</v>
      </c>
    </row>
    <row r="30" customFormat="false" ht="15" hidden="false" customHeight="false" outlineLevel="0" collapsed="false">
      <c r="A30" s="10"/>
      <c r="B30" s="10"/>
      <c r="C30" s="10"/>
      <c r="D30" s="10"/>
      <c r="E30" s="11" t="s">
        <v>65</v>
      </c>
      <c r="F30" s="12" t="n">
        <f aca="false">SUM(F24:F29)</f>
        <v>1345</v>
      </c>
    </row>
    <row r="32" customFormat="false" ht="15" hidden="false" customHeight="false" outlineLevel="0" collapsed="false">
      <c r="A32" s="2" t="s">
        <v>66</v>
      </c>
    </row>
    <row r="33" customFormat="false" ht="15" hidden="false" customHeight="false" outlineLevel="0" collapsed="false">
      <c r="A33" s="13" t="s">
        <v>67</v>
      </c>
      <c r="B33" s="13"/>
      <c r="C33" s="13"/>
      <c r="D33" s="13"/>
      <c r="E33" s="9" t="n">
        <f aca="false">G20</f>
        <v>2296</v>
      </c>
      <c r="F33" s="9"/>
    </row>
    <row r="34" customFormat="false" ht="15" hidden="false" customHeight="false" outlineLevel="0" collapsed="false">
      <c r="A34" s="13" t="s">
        <v>68</v>
      </c>
      <c r="B34" s="13"/>
      <c r="C34" s="13"/>
      <c r="D34" s="13"/>
      <c r="E34" s="9" t="n">
        <f aca="false">F30</f>
        <v>1345</v>
      </c>
      <c r="F34" s="9"/>
    </row>
    <row r="35" customFormat="false" ht="15" hidden="false" customHeight="false" outlineLevel="0" collapsed="false">
      <c r="A35" s="13" t="s">
        <v>69</v>
      </c>
      <c r="B35" s="13"/>
      <c r="C35" s="13"/>
      <c r="D35" s="13"/>
      <c r="E35" s="9" t="n">
        <f aca="false">E33+E34</f>
        <v>3641</v>
      </c>
      <c r="F35" s="9"/>
    </row>
    <row r="36" customFormat="false" ht="15" hidden="false" customHeight="false" outlineLevel="0" collapsed="false">
      <c r="A36" s="13" t="s">
        <v>70</v>
      </c>
      <c r="B36" s="13"/>
      <c r="C36" s="13"/>
      <c r="D36" s="13"/>
      <c r="E36" s="14" t="n">
        <v>0.15</v>
      </c>
      <c r="F36" s="14"/>
    </row>
    <row r="37" customFormat="false" ht="15" hidden="false" customHeight="false" outlineLevel="0" collapsed="false">
      <c r="A37" s="13" t="s">
        <v>71</v>
      </c>
      <c r="B37" s="13"/>
      <c r="C37" s="13"/>
      <c r="D37" s="13"/>
      <c r="E37" s="9" t="n">
        <f aca="false">E35*E36</f>
        <v>546.15</v>
      </c>
      <c r="F37" s="9"/>
    </row>
    <row r="38" customFormat="false" ht="15" hidden="false" customHeight="false" outlineLevel="0" collapsed="false">
      <c r="A38" s="15" t="s">
        <v>72</v>
      </c>
      <c r="B38" s="15"/>
      <c r="C38" s="15"/>
      <c r="D38" s="15"/>
      <c r="E38" s="16" t="n">
        <f aca="false">E35+E37</f>
        <v>4187.15</v>
      </c>
      <c r="F38" s="16"/>
    </row>
    <row r="39" customFormat="false" ht="15" hidden="false" customHeight="false" outlineLevel="0" collapsed="false">
      <c r="A39" s="13" t="s">
        <v>73</v>
      </c>
      <c r="B39" s="13"/>
      <c r="C39" s="13"/>
      <c r="D39" s="13"/>
      <c r="E39" s="14" t="n">
        <v>0.4</v>
      </c>
      <c r="F39" s="14"/>
    </row>
    <row r="40" customFormat="false" ht="15" hidden="false" customHeight="false" outlineLevel="0" collapsed="false">
      <c r="A40" s="13" t="s">
        <v>74</v>
      </c>
      <c r="B40" s="13"/>
      <c r="C40" s="13"/>
      <c r="D40" s="13"/>
      <c r="E40" s="9" t="n">
        <f aca="false">E38*E39</f>
        <v>1674.86</v>
      </c>
      <c r="F40" s="9"/>
    </row>
    <row r="41" customFormat="false" ht="15" hidden="false" customHeight="false" outlineLevel="0" collapsed="false">
      <c r="A41" s="17" t="s">
        <v>75</v>
      </c>
      <c r="B41" s="17"/>
      <c r="C41" s="17"/>
      <c r="D41" s="17"/>
      <c r="E41" s="18" t="n">
        <f aca="false">E38+E40</f>
        <v>5862.01</v>
      </c>
      <c r="F41" s="18"/>
    </row>
    <row r="43" customFormat="false" ht="30" hidden="false" customHeight="true" outlineLevel="0" collapsed="false">
      <c r="A43" s="19" t="s">
        <v>76</v>
      </c>
      <c r="B43" s="19"/>
      <c r="C43" s="19"/>
      <c r="D43" s="19"/>
      <c r="E43" s="19"/>
      <c r="F43" s="19"/>
      <c r="G43" s="19"/>
    </row>
  </sheetData>
  <mergeCells count="24">
    <mergeCell ref="A1:G1"/>
    <mergeCell ref="B3:D3"/>
    <mergeCell ref="B4:D4"/>
    <mergeCell ref="B5:D5"/>
    <mergeCell ref="B6:D6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84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85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86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87</v>
      </c>
      <c r="C10" s="6" t="s">
        <v>88</v>
      </c>
      <c r="D10" s="5" t="s">
        <v>19</v>
      </c>
      <c r="E10" s="7" t="n">
        <v>2.2</v>
      </c>
      <c r="F10" s="8" t="n">
        <v>950</v>
      </c>
      <c r="G10" s="9" t="n">
        <f aca="false">E10*F10</f>
        <v>2090</v>
      </c>
    </row>
    <row r="11" customFormat="false" ht="15" hidden="false" customHeight="false" outlineLevel="0" collapsed="false">
      <c r="A11" s="5" t="n">
        <v>2</v>
      </c>
      <c r="B11" s="5" t="s">
        <v>25</v>
      </c>
      <c r="C11" s="6" t="s">
        <v>26</v>
      </c>
      <c r="D11" s="5" t="s">
        <v>24</v>
      </c>
      <c r="E11" s="7" t="n">
        <v>10</v>
      </c>
      <c r="F11" s="8" t="n">
        <v>45</v>
      </c>
      <c r="G11" s="9" t="n">
        <f aca="false">E11*F11</f>
        <v>450</v>
      </c>
    </row>
    <row r="12" customFormat="false" ht="15" hidden="false" customHeight="false" outlineLevel="0" collapsed="false">
      <c r="A12" s="5" t="n">
        <v>3</v>
      </c>
      <c r="B12" s="5" t="s">
        <v>89</v>
      </c>
      <c r="C12" s="6" t="s">
        <v>90</v>
      </c>
      <c r="D12" s="5" t="s">
        <v>36</v>
      </c>
      <c r="E12" s="7" t="n">
        <v>1</v>
      </c>
      <c r="F12" s="8" t="n">
        <v>1200</v>
      </c>
      <c r="G12" s="9" t="n">
        <f aca="false">E12*F12</f>
        <v>1200</v>
      </c>
    </row>
    <row r="13" customFormat="false" ht="15" hidden="false" customHeight="false" outlineLevel="0" collapsed="false">
      <c r="A13" s="5" t="n">
        <v>4</v>
      </c>
      <c r="B13" s="5" t="s">
        <v>91</v>
      </c>
      <c r="C13" s="6" t="s">
        <v>92</v>
      </c>
      <c r="D13" s="5" t="s">
        <v>36</v>
      </c>
      <c r="E13" s="7" t="n">
        <v>1</v>
      </c>
      <c r="F13" s="8" t="n">
        <v>2200</v>
      </c>
      <c r="G13" s="9" t="n">
        <f aca="false">E13*F13</f>
        <v>2200</v>
      </c>
    </row>
    <row r="14" customFormat="false" ht="15" hidden="false" customHeight="false" outlineLevel="0" collapsed="false">
      <c r="A14" s="5" t="n">
        <v>5</v>
      </c>
      <c r="B14" s="5" t="s">
        <v>30</v>
      </c>
      <c r="C14" s="6" t="s">
        <v>31</v>
      </c>
      <c r="D14" s="5" t="s">
        <v>29</v>
      </c>
      <c r="E14" s="7" t="n">
        <v>16</v>
      </c>
      <c r="F14" s="8" t="n">
        <v>5</v>
      </c>
      <c r="G14" s="9" t="n">
        <f aca="false">E14*F14</f>
        <v>80</v>
      </c>
    </row>
    <row r="15" customFormat="false" ht="15" hidden="false" customHeight="false" outlineLevel="0" collapsed="false">
      <c r="A15" s="5" t="n">
        <v>6</v>
      </c>
      <c r="B15" s="5" t="s">
        <v>32</v>
      </c>
      <c r="C15" s="6" t="s">
        <v>33</v>
      </c>
      <c r="D15" s="5" t="s">
        <v>29</v>
      </c>
      <c r="E15" s="7" t="n">
        <v>8</v>
      </c>
      <c r="F15" s="8" t="n">
        <v>3</v>
      </c>
      <c r="G15" s="9" t="n">
        <f aca="false">E15*F15</f>
        <v>24</v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1" t="s">
        <v>45</v>
      </c>
      <c r="G16" s="12" t="n">
        <f aca="false">SUM(G10:G15)</f>
        <v>6044</v>
      </c>
    </row>
    <row r="18" customFormat="false" ht="15" hidden="false" customHeight="false" outlineLevel="0" collapsed="false">
      <c r="A18" s="2" t="s">
        <v>46</v>
      </c>
    </row>
    <row r="19" customFormat="false" ht="52.2" hidden="false" customHeight="false" outlineLevel="0" collapsed="false">
      <c r="A19" s="4" t="s">
        <v>10</v>
      </c>
      <c r="B19" s="4" t="s">
        <v>11</v>
      </c>
      <c r="C19" s="4" t="s">
        <v>47</v>
      </c>
      <c r="D19" s="4" t="s">
        <v>48</v>
      </c>
      <c r="E19" s="4" t="s">
        <v>49</v>
      </c>
      <c r="F19" s="4" t="s">
        <v>50</v>
      </c>
    </row>
    <row r="20" customFormat="false" ht="15" hidden="false" customHeight="false" outlineLevel="0" collapsed="false">
      <c r="A20" s="5" t="n">
        <v>1</v>
      </c>
      <c r="B20" s="5" t="s">
        <v>51</v>
      </c>
      <c r="C20" s="6" t="s">
        <v>52</v>
      </c>
      <c r="D20" s="7" t="n">
        <v>0.5</v>
      </c>
      <c r="E20" s="8" t="n">
        <v>900</v>
      </c>
      <c r="F20" s="9" t="n">
        <f aca="false">D20*E20</f>
        <v>450</v>
      </c>
    </row>
    <row r="21" customFormat="false" ht="15" hidden="false" customHeight="false" outlineLevel="0" collapsed="false">
      <c r="A21" s="5" t="n">
        <v>2</v>
      </c>
      <c r="B21" s="5" t="s">
        <v>53</v>
      </c>
      <c r="C21" s="6" t="s">
        <v>54</v>
      </c>
      <c r="D21" s="7" t="n">
        <v>0.6</v>
      </c>
      <c r="E21" s="8" t="n">
        <v>800</v>
      </c>
      <c r="F21" s="9" t="n">
        <f aca="false">D21*E21</f>
        <v>480</v>
      </c>
    </row>
    <row r="22" customFormat="false" ht="15" hidden="false" customHeight="false" outlineLevel="0" collapsed="false">
      <c r="A22" s="5" t="n">
        <v>3</v>
      </c>
      <c r="B22" s="5" t="s">
        <v>55</v>
      </c>
      <c r="C22" s="6" t="s">
        <v>56</v>
      </c>
      <c r="D22" s="7" t="n">
        <v>0.3</v>
      </c>
      <c r="E22" s="8" t="n">
        <v>850</v>
      </c>
      <c r="F22" s="9" t="n">
        <f aca="false">D22*E22</f>
        <v>255</v>
      </c>
    </row>
    <row r="23" customFormat="false" ht="15" hidden="false" customHeight="false" outlineLevel="0" collapsed="false">
      <c r="A23" s="5" t="n">
        <v>4</v>
      </c>
      <c r="B23" s="5" t="s">
        <v>57</v>
      </c>
      <c r="C23" s="6" t="s">
        <v>58</v>
      </c>
      <c r="D23" s="7" t="n">
        <v>1.5</v>
      </c>
      <c r="E23" s="8" t="n">
        <v>700</v>
      </c>
      <c r="F23" s="9" t="n">
        <f aca="false">D23*E23</f>
        <v>1050</v>
      </c>
    </row>
    <row r="24" customFormat="false" ht="15" hidden="false" customHeight="false" outlineLevel="0" collapsed="false">
      <c r="A24" s="5" t="n">
        <v>5</v>
      </c>
      <c r="B24" s="5" t="s">
        <v>59</v>
      </c>
      <c r="C24" s="6" t="s">
        <v>60</v>
      </c>
      <c r="D24" s="7" t="n">
        <v>0.8</v>
      </c>
      <c r="E24" s="8" t="n">
        <v>700</v>
      </c>
      <c r="F24" s="9" t="n">
        <f aca="false">D24*E24</f>
        <v>560</v>
      </c>
    </row>
    <row r="25" customFormat="false" ht="15" hidden="false" customHeight="false" outlineLevel="0" collapsed="false">
      <c r="A25" s="5" t="n">
        <v>6</v>
      </c>
      <c r="B25" s="5" t="s">
        <v>61</v>
      </c>
      <c r="C25" s="6" t="s">
        <v>62</v>
      </c>
      <c r="D25" s="7" t="n">
        <v>0.3</v>
      </c>
      <c r="E25" s="8" t="n">
        <v>500</v>
      </c>
      <c r="F25" s="9" t="n">
        <f aca="false">D25*E25</f>
        <v>150</v>
      </c>
    </row>
    <row r="26" customFormat="false" ht="15" hidden="false" customHeight="false" outlineLevel="0" collapsed="false">
      <c r="A26" s="5" t="n">
        <v>7</v>
      </c>
      <c r="B26" s="5" t="s">
        <v>63</v>
      </c>
      <c r="C26" s="6" t="s">
        <v>64</v>
      </c>
      <c r="D26" s="7" t="n">
        <v>0.5</v>
      </c>
      <c r="E26" s="8" t="n">
        <v>900</v>
      </c>
      <c r="F26" s="9" t="n">
        <f aca="false">D26*E26</f>
        <v>450</v>
      </c>
    </row>
    <row r="27" customFormat="false" ht="15" hidden="false" customHeight="false" outlineLevel="0" collapsed="false">
      <c r="A27" s="10"/>
      <c r="B27" s="10"/>
      <c r="C27" s="10"/>
      <c r="D27" s="10"/>
      <c r="E27" s="11" t="s">
        <v>65</v>
      </c>
      <c r="F27" s="12" t="n">
        <f aca="false">SUM(F20:F26)</f>
        <v>3395</v>
      </c>
    </row>
    <row r="29" customFormat="false" ht="15" hidden="false" customHeight="false" outlineLevel="0" collapsed="false">
      <c r="A29" s="2" t="s">
        <v>66</v>
      </c>
    </row>
    <row r="30" customFormat="false" ht="15" hidden="false" customHeight="false" outlineLevel="0" collapsed="false">
      <c r="A30" s="13" t="s">
        <v>67</v>
      </c>
      <c r="B30" s="13"/>
      <c r="C30" s="13"/>
      <c r="D30" s="13"/>
      <c r="E30" s="9" t="n">
        <f aca="false">G16</f>
        <v>6044</v>
      </c>
      <c r="F30" s="9"/>
    </row>
    <row r="31" customFormat="false" ht="15" hidden="false" customHeight="false" outlineLevel="0" collapsed="false">
      <c r="A31" s="13" t="s">
        <v>68</v>
      </c>
      <c r="B31" s="13"/>
      <c r="C31" s="13"/>
      <c r="D31" s="13"/>
      <c r="E31" s="9" t="n">
        <f aca="false">F27</f>
        <v>3395</v>
      </c>
      <c r="F31" s="9"/>
    </row>
    <row r="32" customFormat="false" ht="15" hidden="false" customHeight="false" outlineLevel="0" collapsed="false">
      <c r="A32" s="13" t="s">
        <v>69</v>
      </c>
      <c r="B32" s="13"/>
      <c r="C32" s="13"/>
      <c r="D32" s="13"/>
      <c r="E32" s="9" t="n">
        <f aca="false">E30+E31</f>
        <v>9439</v>
      </c>
      <c r="F32" s="9"/>
    </row>
    <row r="33" customFormat="false" ht="15" hidden="false" customHeight="false" outlineLevel="0" collapsed="false">
      <c r="A33" s="13" t="s">
        <v>70</v>
      </c>
      <c r="B33" s="13"/>
      <c r="C33" s="13"/>
      <c r="D33" s="13"/>
      <c r="E33" s="14" t="n">
        <v>0.15</v>
      </c>
      <c r="F33" s="14"/>
    </row>
    <row r="34" customFormat="false" ht="15" hidden="false" customHeight="false" outlineLevel="0" collapsed="false">
      <c r="A34" s="13" t="s">
        <v>71</v>
      </c>
      <c r="B34" s="13"/>
      <c r="C34" s="13"/>
      <c r="D34" s="13"/>
      <c r="E34" s="9" t="n">
        <f aca="false">E32*E33</f>
        <v>1415.85</v>
      </c>
      <c r="F34" s="9"/>
    </row>
    <row r="35" customFormat="false" ht="15" hidden="false" customHeight="false" outlineLevel="0" collapsed="false">
      <c r="A35" s="15" t="s">
        <v>72</v>
      </c>
      <c r="B35" s="15"/>
      <c r="C35" s="15"/>
      <c r="D35" s="15"/>
      <c r="E35" s="16" t="n">
        <f aca="false">E32+E34</f>
        <v>10854.85</v>
      </c>
      <c r="F35" s="16"/>
    </row>
    <row r="36" customFormat="false" ht="15" hidden="false" customHeight="false" outlineLevel="0" collapsed="false">
      <c r="A36" s="13" t="s">
        <v>73</v>
      </c>
      <c r="B36" s="13"/>
      <c r="C36" s="13"/>
      <c r="D36" s="13"/>
      <c r="E36" s="14" t="n">
        <v>0.4</v>
      </c>
      <c r="F36" s="14"/>
    </row>
    <row r="37" customFormat="false" ht="15" hidden="false" customHeight="false" outlineLevel="0" collapsed="false">
      <c r="A37" s="13" t="s">
        <v>74</v>
      </c>
      <c r="B37" s="13"/>
      <c r="C37" s="13"/>
      <c r="D37" s="13"/>
      <c r="E37" s="9" t="n">
        <f aca="false">E35*E36</f>
        <v>4341.94</v>
      </c>
      <c r="F37" s="9"/>
    </row>
    <row r="38" customFormat="false" ht="15" hidden="false" customHeight="false" outlineLevel="0" collapsed="false">
      <c r="A38" s="17" t="s">
        <v>75</v>
      </c>
      <c r="B38" s="17"/>
      <c r="C38" s="17"/>
      <c r="D38" s="17"/>
      <c r="E38" s="18" t="n">
        <f aca="false">E35+E37</f>
        <v>15196.79</v>
      </c>
      <c r="F38" s="18"/>
    </row>
    <row r="40" customFormat="false" ht="30" hidden="false" customHeight="true" outlineLevel="0" collapsed="false">
      <c r="A40" s="19" t="s">
        <v>76</v>
      </c>
      <c r="B40" s="19"/>
      <c r="C40" s="19"/>
      <c r="D40" s="19"/>
      <c r="E40" s="19"/>
      <c r="F40" s="19"/>
      <c r="G40" s="19"/>
    </row>
  </sheetData>
  <mergeCells count="24">
    <mergeCell ref="A1:G1"/>
    <mergeCell ref="B3:D3"/>
    <mergeCell ref="B4:D4"/>
    <mergeCell ref="B5:D5"/>
    <mergeCell ref="B6:D6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93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94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95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17</v>
      </c>
      <c r="C10" s="6" t="s">
        <v>18</v>
      </c>
      <c r="D10" s="5" t="s">
        <v>19</v>
      </c>
      <c r="E10" s="7" t="n">
        <v>5</v>
      </c>
      <c r="F10" s="8" t="n">
        <v>850</v>
      </c>
      <c r="G10" s="9" t="n">
        <f aca="false">E10*F10</f>
        <v>4250</v>
      </c>
    </row>
    <row r="11" customFormat="false" ht="15" hidden="false" customHeight="false" outlineLevel="0" collapsed="false">
      <c r="A11" s="5" t="n">
        <v>2</v>
      </c>
      <c r="B11" s="5" t="s">
        <v>87</v>
      </c>
      <c r="C11" s="6" t="s">
        <v>88</v>
      </c>
      <c r="D11" s="5" t="s">
        <v>19</v>
      </c>
      <c r="E11" s="7" t="n">
        <v>1.5</v>
      </c>
      <c r="F11" s="8" t="n">
        <v>950</v>
      </c>
      <c r="G11" s="9" t="n">
        <f aca="false">E11*F11</f>
        <v>1425</v>
      </c>
    </row>
    <row r="12" customFormat="false" ht="15" hidden="false" customHeight="false" outlineLevel="0" collapsed="false">
      <c r="A12" s="5" t="n">
        <v>3</v>
      </c>
      <c r="B12" s="5" t="s">
        <v>22</v>
      </c>
      <c r="C12" s="6" t="s">
        <v>23</v>
      </c>
      <c r="D12" s="5" t="s">
        <v>24</v>
      </c>
      <c r="E12" s="7" t="n">
        <v>30</v>
      </c>
      <c r="F12" s="8" t="n">
        <v>15</v>
      </c>
      <c r="G12" s="9" t="n">
        <f aca="false">E12*F12</f>
        <v>450</v>
      </c>
    </row>
    <row r="13" customFormat="false" ht="15" hidden="false" customHeight="false" outlineLevel="0" collapsed="false">
      <c r="A13" s="5" t="n">
        <v>4</v>
      </c>
      <c r="B13" s="5" t="s">
        <v>25</v>
      </c>
      <c r="C13" s="6" t="s">
        <v>26</v>
      </c>
      <c r="D13" s="5" t="s">
        <v>24</v>
      </c>
      <c r="E13" s="7" t="n">
        <v>8</v>
      </c>
      <c r="F13" s="8" t="n">
        <v>45</v>
      </c>
      <c r="G13" s="9" t="n">
        <f aca="false">E13*F13</f>
        <v>360</v>
      </c>
    </row>
    <row r="14" customFormat="false" ht="15" hidden="false" customHeight="false" outlineLevel="0" collapsed="false">
      <c r="A14" s="5" t="n">
        <v>5</v>
      </c>
      <c r="B14" s="5" t="s">
        <v>96</v>
      </c>
      <c r="C14" s="6" t="s">
        <v>97</v>
      </c>
      <c r="D14" s="5" t="s">
        <v>36</v>
      </c>
      <c r="E14" s="7" t="n">
        <v>2</v>
      </c>
      <c r="F14" s="8" t="n">
        <v>1800</v>
      </c>
      <c r="G14" s="9" t="n">
        <f aca="false">E14*F14</f>
        <v>3600</v>
      </c>
    </row>
    <row r="15" customFormat="false" ht="15" hidden="false" customHeight="false" outlineLevel="0" collapsed="false">
      <c r="A15" s="5" t="n">
        <v>6</v>
      </c>
      <c r="B15" s="5" t="s">
        <v>27</v>
      </c>
      <c r="C15" s="6" t="s">
        <v>28</v>
      </c>
      <c r="D15" s="5" t="s">
        <v>29</v>
      </c>
      <c r="E15" s="7" t="n">
        <v>6</v>
      </c>
      <c r="F15" s="8" t="n">
        <v>35</v>
      </c>
      <c r="G15" s="9" t="n">
        <f aca="false">E15*F15</f>
        <v>210</v>
      </c>
    </row>
    <row r="16" customFormat="false" ht="15" hidden="false" customHeight="false" outlineLevel="0" collapsed="false">
      <c r="A16" s="5" t="n">
        <v>7</v>
      </c>
      <c r="B16" s="5" t="s">
        <v>30</v>
      </c>
      <c r="C16" s="6" t="s">
        <v>31</v>
      </c>
      <c r="D16" s="5" t="s">
        <v>29</v>
      </c>
      <c r="E16" s="7" t="n">
        <v>30</v>
      </c>
      <c r="F16" s="8" t="n">
        <v>5</v>
      </c>
      <c r="G16" s="9" t="n">
        <f aca="false">E16*F16</f>
        <v>150</v>
      </c>
    </row>
    <row r="17" customFormat="false" ht="15" hidden="false" customHeight="false" outlineLevel="0" collapsed="false">
      <c r="A17" s="5" t="n">
        <v>8</v>
      </c>
      <c r="B17" s="5" t="s">
        <v>32</v>
      </c>
      <c r="C17" s="6" t="s">
        <v>33</v>
      </c>
      <c r="D17" s="5" t="s">
        <v>29</v>
      </c>
      <c r="E17" s="7" t="n">
        <v>16</v>
      </c>
      <c r="F17" s="8" t="n">
        <v>3</v>
      </c>
      <c r="G17" s="9" t="n">
        <f aca="false">E17*F17</f>
        <v>48</v>
      </c>
    </row>
    <row r="18" customFormat="false" ht="15" hidden="false" customHeight="false" outlineLevel="0" collapsed="false">
      <c r="A18" s="5" t="n">
        <v>9</v>
      </c>
      <c r="B18" s="5" t="s">
        <v>98</v>
      </c>
      <c r="C18" s="6" t="s">
        <v>99</v>
      </c>
      <c r="D18" s="5" t="s">
        <v>29</v>
      </c>
      <c r="E18" s="7" t="n">
        <v>34</v>
      </c>
      <c r="F18" s="8" t="n">
        <v>60</v>
      </c>
      <c r="G18" s="9" t="n">
        <f aca="false">E18*F18</f>
        <v>2040</v>
      </c>
    </row>
    <row r="19" customFormat="false" ht="15" hidden="false" customHeight="false" outlineLevel="0" collapsed="false">
      <c r="A19" s="5" t="n">
        <v>10</v>
      </c>
      <c r="B19" s="5" t="s">
        <v>100</v>
      </c>
      <c r="C19" s="6" t="s">
        <v>101</v>
      </c>
      <c r="D19" s="5" t="s">
        <v>36</v>
      </c>
      <c r="E19" s="7" t="n">
        <v>1</v>
      </c>
      <c r="F19" s="8" t="n">
        <v>1500</v>
      </c>
      <c r="G19" s="9" t="n">
        <f aca="false">E19*F19</f>
        <v>1500</v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1" t="s">
        <v>45</v>
      </c>
      <c r="G20" s="12" t="n">
        <f aca="false">SUM(G10:G19)</f>
        <v>14033</v>
      </c>
    </row>
    <row r="22" customFormat="false" ht="15" hidden="false" customHeight="false" outlineLevel="0" collapsed="false">
      <c r="A22" s="2" t="s">
        <v>46</v>
      </c>
    </row>
    <row r="23" customFormat="false" ht="52.2" hidden="false" customHeight="false" outlineLevel="0" collapsed="false">
      <c r="A23" s="4" t="s">
        <v>10</v>
      </c>
      <c r="B23" s="4" t="s">
        <v>11</v>
      </c>
      <c r="C23" s="4" t="s">
        <v>47</v>
      </c>
      <c r="D23" s="4" t="s">
        <v>48</v>
      </c>
      <c r="E23" s="4" t="s">
        <v>49</v>
      </c>
      <c r="F23" s="4" t="s">
        <v>50</v>
      </c>
    </row>
    <row r="24" customFormat="false" ht="15" hidden="false" customHeight="false" outlineLevel="0" collapsed="false">
      <c r="A24" s="5" t="n">
        <v>1</v>
      </c>
      <c r="B24" s="5" t="s">
        <v>51</v>
      </c>
      <c r="C24" s="6" t="s">
        <v>52</v>
      </c>
      <c r="D24" s="7" t="n">
        <v>1.2</v>
      </c>
      <c r="E24" s="8" t="n">
        <v>900</v>
      </c>
      <c r="F24" s="9" t="n">
        <f aca="false">D24*E24</f>
        <v>1080</v>
      </c>
    </row>
    <row r="25" customFormat="false" ht="15" hidden="false" customHeight="false" outlineLevel="0" collapsed="false">
      <c r="A25" s="5" t="n">
        <v>2</v>
      </c>
      <c r="B25" s="5" t="s">
        <v>53</v>
      </c>
      <c r="C25" s="6" t="s">
        <v>54</v>
      </c>
      <c r="D25" s="7" t="n">
        <v>1</v>
      </c>
      <c r="E25" s="8" t="n">
        <v>800</v>
      </c>
      <c r="F25" s="9" t="n">
        <f aca="false">D25*E25</f>
        <v>800</v>
      </c>
    </row>
    <row r="26" customFormat="false" ht="15" hidden="false" customHeight="false" outlineLevel="0" collapsed="false">
      <c r="A26" s="5" t="n">
        <v>3</v>
      </c>
      <c r="B26" s="5" t="s">
        <v>55</v>
      </c>
      <c r="C26" s="6" t="s">
        <v>56</v>
      </c>
      <c r="D26" s="7" t="n">
        <v>0.8</v>
      </c>
      <c r="E26" s="8" t="n">
        <v>850</v>
      </c>
      <c r="F26" s="9" t="n">
        <f aca="false">D26*E26</f>
        <v>680</v>
      </c>
    </row>
    <row r="27" customFormat="false" ht="15" hidden="false" customHeight="false" outlineLevel="0" collapsed="false">
      <c r="A27" s="5" t="n">
        <v>4</v>
      </c>
      <c r="B27" s="5" t="s">
        <v>57</v>
      </c>
      <c r="C27" s="6" t="s">
        <v>58</v>
      </c>
      <c r="D27" s="7" t="n">
        <v>3</v>
      </c>
      <c r="E27" s="8" t="n">
        <v>700</v>
      </c>
      <c r="F27" s="9" t="n">
        <f aca="false">D27*E27</f>
        <v>2100</v>
      </c>
    </row>
    <row r="28" customFormat="false" ht="15" hidden="false" customHeight="false" outlineLevel="0" collapsed="false">
      <c r="A28" s="5" t="n">
        <v>5</v>
      </c>
      <c r="B28" s="5" t="s">
        <v>59</v>
      </c>
      <c r="C28" s="6" t="s">
        <v>60</v>
      </c>
      <c r="D28" s="7" t="n">
        <v>1.5</v>
      </c>
      <c r="E28" s="8" t="n">
        <v>700</v>
      </c>
      <c r="F28" s="9" t="n">
        <f aca="false">D28*E28</f>
        <v>1050</v>
      </c>
    </row>
    <row r="29" customFormat="false" ht="15" hidden="false" customHeight="false" outlineLevel="0" collapsed="false">
      <c r="A29" s="5" t="n">
        <v>6</v>
      </c>
      <c r="B29" s="5" t="s">
        <v>61</v>
      </c>
      <c r="C29" s="6" t="s">
        <v>62</v>
      </c>
      <c r="D29" s="7" t="n">
        <v>0.6</v>
      </c>
      <c r="E29" s="8" t="n">
        <v>500</v>
      </c>
      <c r="F29" s="9" t="n">
        <f aca="false">D29*E29</f>
        <v>300</v>
      </c>
    </row>
    <row r="30" customFormat="false" ht="15" hidden="false" customHeight="false" outlineLevel="0" collapsed="false">
      <c r="A30" s="5" t="n">
        <v>7</v>
      </c>
      <c r="B30" s="5" t="s">
        <v>63</v>
      </c>
      <c r="C30" s="6" t="s">
        <v>64</v>
      </c>
      <c r="D30" s="7" t="n">
        <v>2</v>
      </c>
      <c r="E30" s="8" t="n">
        <v>900</v>
      </c>
      <c r="F30" s="9" t="n">
        <f aca="false">D30*E30</f>
        <v>1800</v>
      </c>
    </row>
    <row r="31" customFormat="false" ht="15" hidden="false" customHeight="false" outlineLevel="0" collapsed="false">
      <c r="A31" s="10"/>
      <c r="B31" s="10"/>
      <c r="C31" s="10"/>
      <c r="D31" s="10"/>
      <c r="E31" s="11" t="s">
        <v>65</v>
      </c>
      <c r="F31" s="12" t="n">
        <f aca="false">SUM(F24:F30)</f>
        <v>7810</v>
      </c>
    </row>
    <row r="33" customFormat="false" ht="15" hidden="false" customHeight="false" outlineLevel="0" collapsed="false">
      <c r="A33" s="2" t="s">
        <v>66</v>
      </c>
    </row>
    <row r="34" customFormat="false" ht="15" hidden="false" customHeight="false" outlineLevel="0" collapsed="false">
      <c r="A34" s="13" t="s">
        <v>67</v>
      </c>
      <c r="B34" s="13"/>
      <c r="C34" s="13"/>
      <c r="D34" s="13"/>
      <c r="E34" s="9" t="n">
        <f aca="false">G20</f>
        <v>14033</v>
      </c>
      <c r="F34" s="9"/>
    </row>
    <row r="35" customFormat="false" ht="15" hidden="false" customHeight="false" outlineLevel="0" collapsed="false">
      <c r="A35" s="13" t="s">
        <v>68</v>
      </c>
      <c r="B35" s="13"/>
      <c r="C35" s="13"/>
      <c r="D35" s="13"/>
      <c r="E35" s="9" t="n">
        <f aca="false">F31</f>
        <v>7810</v>
      </c>
      <c r="F35" s="9"/>
    </row>
    <row r="36" customFormat="false" ht="15" hidden="false" customHeight="false" outlineLevel="0" collapsed="false">
      <c r="A36" s="13" t="s">
        <v>69</v>
      </c>
      <c r="B36" s="13"/>
      <c r="C36" s="13"/>
      <c r="D36" s="13"/>
      <c r="E36" s="9" t="n">
        <f aca="false">E34+E35</f>
        <v>21843</v>
      </c>
      <c r="F36" s="9"/>
    </row>
    <row r="37" customFormat="false" ht="15" hidden="false" customHeight="false" outlineLevel="0" collapsed="false">
      <c r="A37" s="13" t="s">
        <v>70</v>
      </c>
      <c r="B37" s="13"/>
      <c r="C37" s="13"/>
      <c r="D37" s="13"/>
      <c r="E37" s="14" t="n">
        <v>0.15</v>
      </c>
      <c r="F37" s="14"/>
    </row>
    <row r="38" customFormat="false" ht="15" hidden="false" customHeight="false" outlineLevel="0" collapsed="false">
      <c r="A38" s="13" t="s">
        <v>71</v>
      </c>
      <c r="B38" s="13"/>
      <c r="C38" s="13"/>
      <c r="D38" s="13"/>
      <c r="E38" s="9" t="n">
        <f aca="false">E36*E37</f>
        <v>3276.45</v>
      </c>
      <c r="F38" s="9"/>
    </row>
    <row r="39" customFormat="false" ht="15" hidden="false" customHeight="false" outlineLevel="0" collapsed="false">
      <c r="A39" s="15" t="s">
        <v>72</v>
      </c>
      <c r="B39" s="15"/>
      <c r="C39" s="15"/>
      <c r="D39" s="15"/>
      <c r="E39" s="16" t="n">
        <f aca="false">E36+E38</f>
        <v>25119.45</v>
      </c>
      <c r="F39" s="16"/>
    </row>
    <row r="40" customFormat="false" ht="15" hidden="false" customHeight="false" outlineLevel="0" collapsed="false">
      <c r="A40" s="13" t="s">
        <v>73</v>
      </c>
      <c r="B40" s="13"/>
      <c r="C40" s="13"/>
      <c r="D40" s="13"/>
      <c r="E40" s="14" t="n">
        <v>0.35</v>
      </c>
      <c r="F40" s="14"/>
    </row>
    <row r="41" customFormat="false" ht="15" hidden="false" customHeight="false" outlineLevel="0" collapsed="false">
      <c r="A41" s="13" t="s">
        <v>74</v>
      </c>
      <c r="B41" s="13"/>
      <c r="C41" s="13"/>
      <c r="D41" s="13"/>
      <c r="E41" s="9" t="n">
        <f aca="false">E39*E40</f>
        <v>8791.8075</v>
      </c>
      <c r="F41" s="9"/>
    </row>
    <row r="42" customFormat="false" ht="15" hidden="false" customHeight="false" outlineLevel="0" collapsed="false">
      <c r="A42" s="17" t="s">
        <v>75</v>
      </c>
      <c r="B42" s="17"/>
      <c r="C42" s="17"/>
      <c r="D42" s="17"/>
      <c r="E42" s="18" t="n">
        <f aca="false">E39+E41</f>
        <v>33911.2575</v>
      </c>
      <c r="F42" s="18"/>
    </row>
    <row r="44" customFormat="false" ht="30" hidden="false" customHeight="true" outlineLevel="0" collapsed="false">
      <c r="A44" s="19" t="s">
        <v>76</v>
      </c>
      <c r="B44" s="19"/>
      <c r="C44" s="19"/>
      <c r="D44" s="19"/>
      <c r="E44" s="19"/>
      <c r="F44" s="19"/>
      <c r="G44" s="19"/>
    </row>
  </sheetData>
  <mergeCells count="24">
    <mergeCell ref="A1:G1"/>
    <mergeCell ref="B3:D3"/>
    <mergeCell ref="B4:D4"/>
    <mergeCell ref="B5:D5"/>
    <mergeCell ref="B6:D6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102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103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104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17</v>
      </c>
      <c r="C10" s="6" t="s">
        <v>18</v>
      </c>
      <c r="D10" s="5" t="s">
        <v>19</v>
      </c>
      <c r="E10" s="7" t="n">
        <v>1.8</v>
      </c>
      <c r="F10" s="8" t="n">
        <v>850</v>
      </c>
      <c r="G10" s="9" t="n">
        <f aca="false">E10*F10</f>
        <v>1530</v>
      </c>
    </row>
    <row r="11" customFormat="false" ht="15" hidden="false" customHeight="false" outlineLevel="0" collapsed="false">
      <c r="A11" s="5" t="n">
        <v>2</v>
      </c>
      <c r="B11" s="5" t="s">
        <v>20</v>
      </c>
      <c r="C11" s="6" t="s">
        <v>21</v>
      </c>
      <c r="D11" s="5" t="s">
        <v>19</v>
      </c>
      <c r="E11" s="7" t="n">
        <v>0.3</v>
      </c>
      <c r="F11" s="8" t="n">
        <v>220</v>
      </c>
      <c r="G11" s="9" t="n">
        <f aca="false">E11*F11</f>
        <v>66</v>
      </c>
    </row>
    <row r="12" customFormat="false" ht="15" hidden="false" customHeight="false" outlineLevel="0" collapsed="false">
      <c r="A12" s="5" t="n">
        <v>3</v>
      </c>
      <c r="B12" s="5" t="s">
        <v>105</v>
      </c>
      <c r="C12" s="6" t="s">
        <v>106</v>
      </c>
      <c r="D12" s="5" t="s">
        <v>19</v>
      </c>
      <c r="E12" s="7" t="n">
        <v>0.5</v>
      </c>
      <c r="F12" s="8" t="n">
        <v>3500</v>
      </c>
      <c r="G12" s="9" t="n">
        <f aca="false">E12*F12</f>
        <v>1750</v>
      </c>
    </row>
    <row r="13" customFormat="false" ht="15" hidden="false" customHeight="false" outlineLevel="0" collapsed="false">
      <c r="A13" s="5" t="n">
        <v>4</v>
      </c>
      <c r="B13" s="5" t="s">
        <v>22</v>
      </c>
      <c r="C13" s="6" t="s">
        <v>23</v>
      </c>
      <c r="D13" s="5" t="s">
        <v>24</v>
      </c>
      <c r="E13" s="7" t="n">
        <v>10</v>
      </c>
      <c r="F13" s="8" t="n">
        <v>15</v>
      </c>
      <c r="G13" s="9" t="n">
        <f aca="false">E13*F13</f>
        <v>150</v>
      </c>
    </row>
    <row r="14" customFormat="false" ht="15" hidden="false" customHeight="false" outlineLevel="0" collapsed="false">
      <c r="A14" s="5" t="n">
        <v>5</v>
      </c>
      <c r="B14" s="5" t="s">
        <v>25</v>
      </c>
      <c r="C14" s="6" t="s">
        <v>26</v>
      </c>
      <c r="D14" s="5" t="s">
        <v>24</v>
      </c>
      <c r="E14" s="7" t="n">
        <v>3</v>
      </c>
      <c r="F14" s="8" t="n">
        <v>45</v>
      </c>
      <c r="G14" s="9" t="n">
        <f aca="false">E14*F14</f>
        <v>135</v>
      </c>
    </row>
    <row r="15" customFormat="false" ht="15" hidden="false" customHeight="false" outlineLevel="0" collapsed="false">
      <c r="A15" s="5" t="n">
        <v>6</v>
      </c>
      <c r="B15" s="5" t="s">
        <v>107</v>
      </c>
      <c r="C15" s="6" t="s">
        <v>108</v>
      </c>
      <c r="D15" s="5" t="s">
        <v>29</v>
      </c>
      <c r="E15" s="7" t="n">
        <v>2</v>
      </c>
      <c r="F15" s="8" t="n">
        <v>180</v>
      </c>
      <c r="G15" s="9" t="n">
        <f aca="false">E15*F15</f>
        <v>360</v>
      </c>
    </row>
    <row r="16" customFormat="false" ht="15" hidden="false" customHeight="false" outlineLevel="0" collapsed="false">
      <c r="A16" s="5" t="n">
        <v>7</v>
      </c>
      <c r="B16" s="5" t="s">
        <v>82</v>
      </c>
      <c r="C16" s="6" t="s">
        <v>83</v>
      </c>
      <c r="D16" s="5" t="s">
        <v>29</v>
      </c>
      <c r="E16" s="7" t="n">
        <v>1</v>
      </c>
      <c r="F16" s="8" t="n">
        <v>120</v>
      </c>
      <c r="G16" s="9" t="n">
        <f aca="false">E16*F16</f>
        <v>120</v>
      </c>
    </row>
    <row r="17" customFormat="false" ht="15" hidden="false" customHeight="false" outlineLevel="0" collapsed="false">
      <c r="A17" s="5" t="n">
        <v>8</v>
      </c>
      <c r="B17" s="5" t="s">
        <v>27</v>
      </c>
      <c r="C17" s="6" t="s">
        <v>28</v>
      </c>
      <c r="D17" s="5" t="s">
        <v>29</v>
      </c>
      <c r="E17" s="7" t="n">
        <v>4</v>
      </c>
      <c r="F17" s="8" t="n">
        <v>35</v>
      </c>
      <c r="G17" s="9" t="n">
        <f aca="false">E17*F17</f>
        <v>140</v>
      </c>
    </row>
    <row r="18" customFormat="false" ht="15" hidden="false" customHeight="false" outlineLevel="0" collapsed="false">
      <c r="A18" s="5" t="n">
        <v>9</v>
      </c>
      <c r="B18" s="5" t="s">
        <v>30</v>
      </c>
      <c r="C18" s="6" t="s">
        <v>31</v>
      </c>
      <c r="D18" s="5" t="s">
        <v>29</v>
      </c>
      <c r="E18" s="7" t="n">
        <v>14</v>
      </c>
      <c r="F18" s="8" t="n">
        <v>5</v>
      </c>
      <c r="G18" s="9" t="n">
        <f aca="false">E18*F18</f>
        <v>70</v>
      </c>
    </row>
    <row r="19" customFormat="false" ht="15" hidden="false" customHeight="false" outlineLevel="0" collapsed="false">
      <c r="A19" s="5" t="n">
        <v>10</v>
      </c>
      <c r="B19" s="5" t="s">
        <v>32</v>
      </c>
      <c r="C19" s="6" t="s">
        <v>33</v>
      </c>
      <c r="D19" s="5" t="s">
        <v>29</v>
      </c>
      <c r="E19" s="7" t="n">
        <v>8</v>
      </c>
      <c r="F19" s="8" t="n">
        <v>3</v>
      </c>
      <c r="G19" s="9" t="n">
        <f aca="false">E19*F19</f>
        <v>24</v>
      </c>
    </row>
    <row r="20" customFormat="false" ht="15" hidden="false" customHeight="false" outlineLevel="0" collapsed="false">
      <c r="A20" s="5" t="n">
        <v>11</v>
      </c>
      <c r="B20" s="5" t="s">
        <v>43</v>
      </c>
      <c r="C20" s="6" t="s">
        <v>44</v>
      </c>
      <c r="D20" s="5" t="s">
        <v>29</v>
      </c>
      <c r="E20" s="7" t="n">
        <v>14</v>
      </c>
      <c r="F20" s="8" t="n">
        <v>3</v>
      </c>
      <c r="G20" s="9" t="n">
        <f aca="false">E20*F20</f>
        <v>42</v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1" t="s">
        <v>45</v>
      </c>
      <c r="G21" s="12" t="n">
        <f aca="false">SUM(G10:G20)</f>
        <v>4387</v>
      </c>
    </row>
    <row r="23" customFormat="false" ht="15" hidden="false" customHeight="false" outlineLevel="0" collapsed="false">
      <c r="A23" s="2" t="s">
        <v>46</v>
      </c>
    </row>
    <row r="24" customFormat="false" ht="52.2" hidden="false" customHeight="false" outlineLevel="0" collapsed="false">
      <c r="A24" s="4" t="s">
        <v>10</v>
      </c>
      <c r="B24" s="4" t="s">
        <v>11</v>
      </c>
      <c r="C24" s="4" t="s">
        <v>47</v>
      </c>
      <c r="D24" s="4" t="s">
        <v>48</v>
      </c>
      <c r="E24" s="4" t="s">
        <v>49</v>
      </c>
      <c r="F24" s="4" t="s">
        <v>50</v>
      </c>
    </row>
    <row r="25" customFormat="false" ht="15" hidden="false" customHeight="false" outlineLevel="0" collapsed="false">
      <c r="A25" s="5" t="n">
        <v>1</v>
      </c>
      <c r="B25" s="5" t="s">
        <v>51</v>
      </c>
      <c r="C25" s="6" t="s">
        <v>52</v>
      </c>
      <c r="D25" s="7" t="n">
        <v>0.35</v>
      </c>
      <c r="E25" s="8" t="n">
        <v>900</v>
      </c>
      <c r="F25" s="9" t="n">
        <f aca="false">D25*E25</f>
        <v>315</v>
      </c>
    </row>
    <row r="26" customFormat="false" ht="15" hidden="false" customHeight="false" outlineLevel="0" collapsed="false">
      <c r="A26" s="5" t="n">
        <v>2</v>
      </c>
      <c r="B26" s="5" t="s">
        <v>53</v>
      </c>
      <c r="C26" s="6" t="s">
        <v>54</v>
      </c>
      <c r="D26" s="7" t="n">
        <v>0.3</v>
      </c>
      <c r="E26" s="8" t="n">
        <v>800</v>
      </c>
      <c r="F26" s="9" t="n">
        <f aca="false">D26*E26</f>
        <v>240</v>
      </c>
    </row>
    <row r="27" customFormat="false" ht="15" hidden="false" customHeight="false" outlineLevel="0" collapsed="false">
      <c r="A27" s="5" t="n">
        <v>3</v>
      </c>
      <c r="B27" s="5" t="s">
        <v>55</v>
      </c>
      <c r="C27" s="6" t="s">
        <v>56</v>
      </c>
      <c r="D27" s="7" t="n">
        <v>0.25</v>
      </c>
      <c r="E27" s="8" t="n">
        <v>850</v>
      </c>
      <c r="F27" s="9" t="n">
        <f aca="false">D27*E27</f>
        <v>212.5</v>
      </c>
    </row>
    <row r="28" customFormat="false" ht="15" hidden="false" customHeight="false" outlineLevel="0" collapsed="false">
      <c r="A28" s="5" t="n">
        <v>4</v>
      </c>
      <c r="B28" s="5" t="s">
        <v>57</v>
      </c>
      <c r="C28" s="6" t="s">
        <v>58</v>
      </c>
      <c r="D28" s="7" t="n">
        <v>0.7</v>
      </c>
      <c r="E28" s="8" t="n">
        <v>700</v>
      </c>
      <c r="F28" s="9" t="n">
        <f aca="false">D28*E28</f>
        <v>490</v>
      </c>
    </row>
    <row r="29" customFormat="false" ht="15" hidden="false" customHeight="false" outlineLevel="0" collapsed="false">
      <c r="A29" s="5" t="n">
        <v>5</v>
      </c>
      <c r="B29" s="5" t="s">
        <v>59</v>
      </c>
      <c r="C29" s="6" t="s">
        <v>60</v>
      </c>
      <c r="D29" s="7" t="n">
        <v>0.4</v>
      </c>
      <c r="E29" s="8" t="n">
        <v>700</v>
      </c>
      <c r="F29" s="9" t="n">
        <f aca="false">D29*E29</f>
        <v>280</v>
      </c>
    </row>
    <row r="30" customFormat="false" ht="15" hidden="false" customHeight="false" outlineLevel="0" collapsed="false">
      <c r="A30" s="5" t="n">
        <v>6</v>
      </c>
      <c r="B30" s="5" t="s">
        <v>61</v>
      </c>
      <c r="C30" s="6" t="s">
        <v>62</v>
      </c>
      <c r="D30" s="7" t="n">
        <v>0.15</v>
      </c>
      <c r="E30" s="8" t="n">
        <v>500</v>
      </c>
      <c r="F30" s="9" t="n">
        <f aca="false">D30*E30</f>
        <v>75</v>
      </c>
    </row>
    <row r="31" customFormat="false" ht="15" hidden="false" customHeight="false" outlineLevel="0" collapsed="false">
      <c r="A31" s="5" t="n">
        <v>7</v>
      </c>
      <c r="B31" s="5" t="s">
        <v>63</v>
      </c>
      <c r="C31" s="6" t="s">
        <v>64</v>
      </c>
      <c r="D31" s="7" t="n">
        <v>0.3</v>
      </c>
      <c r="E31" s="8" t="n">
        <v>900</v>
      </c>
      <c r="F31" s="9" t="n">
        <f aca="false">D31*E31</f>
        <v>270</v>
      </c>
    </row>
    <row r="32" customFormat="false" ht="15" hidden="false" customHeight="false" outlineLevel="0" collapsed="false">
      <c r="A32" s="10"/>
      <c r="B32" s="10"/>
      <c r="C32" s="10"/>
      <c r="D32" s="10"/>
      <c r="E32" s="11" t="s">
        <v>65</v>
      </c>
      <c r="F32" s="12" t="n">
        <f aca="false">SUM(F25:F31)</f>
        <v>1882.5</v>
      </c>
    </row>
    <row r="34" customFormat="false" ht="15" hidden="false" customHeight="false" outlineLevel="0" collapsed="false">
      <c r="A34" s="2" t="s">
        <v>66</v>
      </c>
    </row>
    <row r="35" customFormat="false" ht="15" hidden="false" customHeight="false" outlineLevel="0" collapsed="false">
      <c r="A35" s="13" t="s">
        <v>67</v>
      </c>
      <c r="B35" s="13"/>
      <c r="C35" s="13"/>
      <c r="D35" s="13"/>
      <c r="E35" s="9" t="n">
        <f aca="false">G21</f>
        <v>4387</v>
      </c>
      <c r="F35" s="9"/>
    </row>
    <row r="36" customFormat="false" ht="15" hidden="false" customHeight="false" outlineLevel="0" collapsed="false">
      <c r="A36" s="13" t="s">
        <v>68</v>
      </c>
      <c r="B36" s="13"/>
      <c r="C36" s="13"/>
      <c r="D36" s="13"/>
      <c r="E36" s="9" t="n">
        <f aca="false">F32</f>
        <v>1882.5</v>
      </c>
      <c r="F36" s="9"/>
    </row>
    <row r="37" customFormat="false" ht="15" hidden="false" customHeight="false" outlineLevel="0" collapsed="false">
      <c r="A37" s="13" t="s">
        <v>69</v>
      </c>
      <c r="B37" s="13"/>
      <c r="C37" s="13"/>
      <c r="D37" s="13"/>
      <c r="E37" s="9" t="n">
        <f aca="false">E35+E36</f>
        <v>6269.5</v>
      </c>
      <c r="F37" s="9"/>
    </row>
    <row r="38" customFormat="false" ht="15" hidden="false" customHeight="false" outlineLevel="0" collapsed="false">
      <c r="A38" s="13" t="s">
        <v>70</v>
      </c>
      <c r="B38" s="13"/>
      <c r="C38" s="13"/>
      <c r="D38" s="13"/>
      <c r="E38" s="14" t="n">
        <v>0.15</v>
      </c>
      <c r="F38" s="14"/>
    </row>
    <row r="39" customFormat="false" ht="15" hidden="false" customHeight="false" outlineLevel="0" collapsed="false">
      <c r="A39" s="13" t="s">
        <v>71</v>
      </c>
      <c r="B39" s="13"/>
      <c r="C39" s="13"/>
      <c r="D39" s="13"/>
      <c r="E39" s="9" t="n">
        <f aca="false">E37*E38</f>
        <v>940.425</v>
      </c>
      <c r="F39" s="9"/>
    </row>
    <row r="40" customFormat="false" ht="15" hidden="false" customHeight="false" outlineLevel="0" collapsed="false">
      <c r="A40" s="15" t="s">
        <v>72</v>
      </c>
      <c r="B40" s="15"/>
      <c r="C40" s="15"/>
      <c r="D40" s="15"/>
      <c r="E40" s="16" t="n">
        <f aca="false">E37+E39</f>
        <v>7209.925</v>
      </c>
      <c r="F40" s="16"/>
    </row>
    <row r="41" customFormat="false" ht="15" hidden="false" customHeight="false" outlineLevel="0" collapsed="false">
      <c r="A41" s="13" t="s">
        <v>73</v>
      </c>
      <c r="B41" s="13"/>
      <c r="C41" s="13"/>
      <c r="D41" s="13"/>
      <c r="E41" s="14" t="n">
        <v>0.4</v>
      </c>
      <c r="F41" s="14"/>
    </row>
    <row r="42" customFormat="false" ht="15" hidden="false" customHeight="false" outlineLevel="0" collapsed="false">
      <c r="A42" s="13" t="s">
        <v>74</v>
      </c>
      <c r="B42" s="13"/>
      <c r="C42" s="13"/>
      <c r="D42" s="13"/>
      <c r="E42" s="9" t="n">
        <f aca="false">E40*E41</f>
        <v>2883.97</v>
      </c>
      <c r="F42" s="9"/>
    </row>
    <row r="43" customFormat="false" ht="15" hidden="false" customHeight="false" outlineLevel="0" collapsed="false">
      <c r="A43" s="17" t="s">
        <v>75</v>
      </c>
      <c r="B43" s="17"/>
      <c r="C43" s="17"/>
      <c r="D43" s="17"/>
      <c r="E43" s="18" t="n">
        <f aca="false">E40+E42</f>
        <v>10093.895</v>
      </c>
      <c r="F43" s="18"/>
    </row>
    <row r="45" customFormat="false" ht="30" hidden="false" customHeight="true" outlineLevel="0" collapsed="false">
      <c r="A45" s="19" t="s">
        <v>76</v>
      </c>
      <c r="B45" s="19"/>
      <c r="C45" s="19"/>
      <c r="D45" s="19"/>
      <c r="E45" s="19"/>
      <c r="F45" s="19"/>
      <c r="G45" s="19"/>
    </row>
  </sheetData>
  <mergeCells count="24">
    <mergeCell ref="A1:G1"/>
    <mergeCell ref="B3:D3"/>
    <mergeCell ref="B4:D4"/>
    <mergeCell ref="B5:D5"/>
    <mergeCell ref="B6:D6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109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110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111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17</v>
      </c>
      <c r="C10" s="6" t="s">
        <v>18</v>
      </c>
      <c r="D10" s="5" t="s">
        <v>19</v>
      </c>
      <c r="E10" s="7" t="n">
        <v>2.6</v>
      </c>
      <c r="F10" s="8" t="n">
        <v>850</v>
      </c>
      <c r="G10" s="9" t="n">
        <f aca="false">E10*F10</f>
        <v>2210</v>
      </c>
    </row>
    <row r="11" customFormat="false" ht="15" hidden="false" customHeight="false" outlineLevel="0" collapsed="false">
      <c r="A11" s="5" t="n">
        <v>2</v>
      </c>
      <c r="B11" s="5" t="s">
        <v>20</v>
      </c>
      <c r="C11" s="6" t="s">
        <v>21</v>
      </c>
      <c r="D11" s="5" t="s">
        <v>19</v>
      </c>
      <c r="E11" s="7" t="n">
        <v>0.7</v>
      </c>
      <c r="F11" s="8" t="n">
        <v>220</v>
      </c>
      <c r="G11" s="9" t="n">
        <f aca="false">E11*F11</f>
        <v>154</v>
      </c>
    </row>
    <row r="12" customFormat="false" ht="15" hidden="false" customHeight="false" outlineLevel="0" collapsed="false">
      <c r="A12" s="5" t="n">
        <v>3</v>
      </c>
      <c r="B12" s="5" t="s">
        <v>22</v>
      </c>
      <c r="C12" s="6" t="s">
        <v>23</v>
      </c>
      <c r="D12" s="5" t="s">
        <v>24</v>
      </c>
      <c r="E12" s="7" t="n">
        <v>16</v>
      </c>
      <c r="F12" s="8" t="n">
        <v>15</v>
      </c>
      <c r="G12" s="9" t="n">
        <f aca="false">E12*F12</f>
        <v>240</v>
      </c>
    </row>
    <row r="13" customFormat="false" ht="15" hidden="false" customHeight="false" outlineLevel="0" collapsed="false">
      <c r="A13" s="5" t="n">
        <v>4</v>
      </c>
      <c r="B13" s="5" t="s">
        <v>25</v>
      </c>
      <c r="C13" s="6" t="s">
        <v>26</v>
      </c>
      <c r="D13" s="5" t="s">
        <v>24</v>
      </c>
      <c r="E13" s="7" t="n">
        <v>6</v>
      </c>
      <c r="F13" s="8" t="n">
        <v>45</v>
      </c>
      <c r="G13" s="9" t="n">
        <f aca="false">E13*F13</f>
        <v>270</v>
      </c>
    </row>
    <row r="14" customFormat="false" ht="15" hidden="false" customHeight="false" outlineLevel="0" collapsed="false">
      <c r="A14" s="5" t="n">
        <v>5</v>
      </c>
      <c r="B14" s="5" t="s">
        <v>80</v>
      </c>
      <c r="C14" s="6" t="s">
        <v>81</v>
      </c>
      <c r="D14" s="5" t="s">
        <v>36</v>
      </c>
      <c r="E14" s="7" t="n">
        <v>4</v>
      </c>
      <c r="F14" s="8" t="n">
        <v>450</v>
      </c>
      <c r="G14" s="9" t="n">
        <f aca="false">E14*F14</f>
        <v>1800</v>
      </c>
    </row>
    <row r="15" customFormat="false" ht="15" hidden="false" customHeight="false" outlineLevel="0" collapsed="false">
      <c r="A15" s="5" t="n">
        <v>6</v>
      </c>
      <c r="B15" s="5" t="s">
        <v>82</v>
      </c>
      <c r="C15" s="6" t="s">
        <v>83</v>
      </c>
      <c r="D15" s="5" t="s">
        <v>29</v>
      </c>
      <c r="E15" s="7" t="n">
        <v>4</v>
      </c>
      <c r="F15" s="8" t="n">
        <v>120</v>
      </c>
      <c r="G15" s="9" t="n">
        <f aca="false">E15*F15</f>
        <v>480</v>
      </c>
    </row>
    <row r="16" customFormat="false" ht="15" hidden="false" customHeight="false" outlineLevel="0" collapsed="false">
      <c r="A16" s="5" t="n">
        <v>7</v>
      </c>
      <c r="B16" s="5" t="s">
        <v>27</v>
      </c>
      <c r="C16" s="6" t="s">
        <v>28</v>
      </c>
      <c r="D16" s="5" t="s">
        <v>29</v>
      </c>
      <c r="E16" s="7" t="n">
        <v>4</v>
      </c>
      <c r="F16" s="8" t="n">
        <v>35</v>
      </c>
      <c r="G16" s="9" t="n">
        <f aca="false">E16*F16</f>
        <v>140</v>
      </c>
    </row>
    <row r="17" customFormat="false" ht="15" hidden="false" customHeight="false" outlineLevel="0" collapsed="false">
      <c r="A17" s="5" t="n">
        <v>8</v>
      </c>
      <c r="B17" s="5" t="s">
        <v>30</v>
      </c>
      <c r="C17" s="6" t="s">
        <v>31</v>
      </c>
      <c r="D17" s="5" t="s">
        <v>29</v>
      </c>
      <c r="E17" s="7" t="n">
        <v>20</v>
      </c>
      <c r="F17" s="8" t="n">
        <v>5</v>
      </c>
      <c r="G17" s="9" t="n">
        <f aca="false">E17*F17</f>
        <v>100</v>
      </c>
    </row>
    <row r="18" customFormat="false" ht="15" hidden="false" customHeight="false" outlineLevel="0" collapsed="false">
      <c r="A18" s="5" t="n">
        <v>9</v>
      </c>
      <c r="B18" s="5" t="s">
        <v>32</v>
      </c>
      <c r="C18" s="6" t="s">
        <v>33</v>
      </c>
      <c r="D18" s="5" t="s">
        <v>29</v>
      </c>
      <c r="E18" s="7" t="n">
        <v>12</v>
      </c>
      <c r="F18" s="8" t="n">
        <v>3</v>
      </c>
      <c r="G18" s="9" t="n">
        <f aca="false">E18*F18</f>
        <v>36</v>
      </c>
    </row>
    <row r="19" customFormat="false" ht="15" hidden="false" customHeight="false" outlineLevel="0" collapsed="false">
      <c r="A19" s="5" t="n">
        <v>10</v>
      </c>
      <c r="B19" s="5" t="s">
        <v>43</v>
      </c>
      <c r="C19" s="6" t="s">
        <v>44</v>
      </c>
      <c r="D19" s="5" t="s">
        <v>29</v>
      </c>
      <c r="E19" s="7" t="n">
        <v>20</v>
      </c>
      <c r="F19" s="8" t="n">
        <v>3</v>
      </c>
      <c r="G19" s="9" t="n">
        <f aca="false">E19*F19</f>
        <v>60</v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1" t="s">
        <v>45</v>
      </c>
      <c r="G20" s="12" t="n">
        <f aca="false">SUM(G10:G19)</f>
        <v>5490</v>
      </c>
    </row>
    <row r="22" customFormat="false" ht="15" hidden="false" customHeight="false" outlineLevel="0" collapsed="false">
      <c r="A22" s="2" t="s">
        <v>46</v>
      </c>
    </row>
    <row r="23" customFormat="false" ht="52.2" hidden="false" customHeight="false" outlineLevel="0" collapsed="false">
      <c r="A23" s="4" t="s">
        <v>10</v>
      </c>
      <c r="B23" s="4" t="s">
        <v>11</v>
      </c>
      <c r="C23" s="4" t="s">
        <v>47</v>
      </c>
      <c r="D23" s="4" t="s">
        <v>48</v>
      </c>
      <c r="E23" s="4" t="s">
        <v>49</v>
      </c>
      <c r="F23" s="4" t="s">
        <v>50</v>
      </c>
    </row>
    <row r="24" customFormat="false" ht="15" hidden="false" customHeight="false" outlineLevel="0" collapsed="false">
      <c r="A24" s="5" t="n">
        <v>1</v>
      </c>
      <c r="B24" s="5" t="s">
        <v>51</v>
      </c>
      <c r="C24" s="6" t="s">
        <v>52</v>
      </c>
      <c r="D24" s="7" t="n">
        <v>0.5</v>
      </c>
      <c r="E24" s="8" t="n">
        <v>900</v>
      </c>
      <c r="F24" s="9" t="n">
        <f aca="false">D24*E24</f>
        <v>450</v>
      </c>
    </row>
    <row r="25" customFormat="false" ht="15" hidden="false" customHeight="false" outlineLevel="0" collapsed="false">
      <c r="A25" s="5" t="n">
        <v>2</v>
      </c>
      <c r="B25" s="5" t="s">
        <v>53</v>
      </c>
      <c r="C25" s="6" t="s">
        <v>54</v>
      </c>
      <c r="D25" s="7" t="n">
        <v>0.45</v>
      </c>
      <c r="E25" s="8" t="n">
        <v>800</v>
      </c>
      <c r="F25" s="9" t="n">
        <f aca="false">D25*E25</f>
        <v>360</v>
      </c>
    </row>
    <row r="26" customFormat="false" ht="15" hidden="false" customHeight="false" outlineLevel="0" collapsed="false">
      <c r="A26" s="5" t="n">
        <v>3</v>
      </c>
      <c r="B26" s="5" t="s">
        <v>55</v>
      </c>
      <c r="C26" s="6" t="s">
        <v>56</v>
      </c>
      <c r="D26" s="7" t="n">
        <v>0.4</v>
      </c>
      <c r="E26" s="8" t="n">
        <v>850</v>
      </c>
      <c r="F26" s="9" t="n">
        <f aca="false">D26*E26</f>
        <v>340</v>
      </c>
    </row>
    <row r="27" customFormat="false" ht="15" hidden="false" customHeight="false" outlineLevel="0" collapsed="false">
      <c r="A27" s="5" t="n">
        <v>4</v>
      </c>
      <c r="B27" s="5" t="s">
        <v>57</v>
      </c>
      <c r="C27" s="6" t="s">
        <v>58</v>
      </c>
      <c r="D27" s="7" t="n">
        <v>1.2</v>
      </c>
      <c r="E27" s="8" t="n">
        <v>700</v>
      </c>
      <c r="F27" s="9" t="n">
        <f aca="false">D27*E27</f>
        <v>840</v>
      </c>
    </row>
    <row r="28" customFormat="false" ht="15" hidden="false" customHeight="false" outlineLevel="0" collapsed="false">
      <c r="A28" s="5" t="n">
        <v>5</v>
      </c>
      <c r="B28" s="5" t="s">
        <v>59</v>
      </c>
      <c r="C28" s="6" t="s">
        <v>60</v>
      </c>
      <c r="D28" s="7" t="n">
        <v>0.7</v>
      </c>
      <c r="E28" s="8" t="n">
        <v>700</v>
      </c>
      <c r="F28" s="9" t="n">
        <f aca="false">D28*E28</f>
        <v>490</v>
      </c>
    </row>
    <row r="29" customFormat="false" ht="15" hidden="false" customHeight="false" outlineLevel="0" collapsed="false">
      <c r="A29" s="5" t="n">
        <v>6</v>
      </c>
      <c r="B29" s="5" t="s">
        <v>61</v>
      </c>
      <c r="C29" s="6" t="s">
        <v>62</v>
      </c>
      <c r="D29" s="7" t="n">
        <v>0.25</v>
      </c>
      <c r="E29" s="8" t="n">
        <v>500</v>
      </c>
      <c r="F29" s="9" t="n">
        <f aca="false">D29*E29</f>
        <v>125</v>
      </c>
    </row>
    <row r="30" customFormat="false" ht="15" hidden="false" customHeight="false" outlineLevel="0" collapsed="false">
      <c r="A30" s="5" t="n">
        <v>7</v>
      </c>
      <c r="B30" s="5" t="s">
        <v>63</v>
      </c>
      <c r="C30" s="6" t="s">
        <v>64</v>
      </c>
      <c r="D30" s="7" t="n">
        <v>0.4</v>
      </c>
      <c r="E30" s="8" t="n">
        <v>900</v>
      </c>
      <c r="F30" s="9" t="n">
        <f aca="false">D30*E30</f>
        <v>360</v>
      </c>
    </row>
    <row r="31" customFormat="false" ht="15" hidden="false" customHeight="false" outlineLevel="0" collapsed="false">
      <c r="A31" s="10"/>
      <c r="B31" s="10"/>
      <c r="C31" s="10"/>
      <c r="D31" s="10"/>
      <c r="E31" s="11" t="s">
        <v>65</v>
      </c>
      <c r="F31" s="12" t="n">
        <f aca="false">SUM(F24:F30)</f>
        <v>2965</v>
      </c>
    </row>
    <row r="33" customFormat="false" ht="15" hidden="false" customHeight="false" outlineLevel="0" collapsed="false">
      <c r="A33" s="2" t="s">
        <v>66</v>
      </c>
    </row>
    <row r="34" customFormat="false" ht="15" hidden="false" customHeight="false" outlineLevel="0" collapsed="false">
      <c r="A34" s="13" t="s">
        <v>67</v>
      </c>
      <c r="B34" s="13"/>
      <c r="C34" s="13"/>
      <c r="D34" s="13"/>
      <c r="E34" s="9" t="n">
        <f aca="false">G20</f>
        <v>5490</v>
      </c>
      <c r="F34" s="9"/>
    </row>
    <row r="35" customFormat="false" ht="15" hidden="false" customHeight="false" outlineLevel="0" collapsed="false">
      <c r="A35" s="13" t="s">
        <v>68</v>
      </c>
      <c r="B35" s="13"/>
      <c r="C35" s="13"/>
      <c r="D35" s="13"/>
      <c r="E35" s="9" t="n">
        <f aca="false">F31</f>
        <v>2965</v>
      </c>
      <c r="F35" s="9"/>
    </row>
    <row r="36" customFormat="false" ht="15" hidden="false" customHeight="false" outlineLevel="0" collapsed="false">
      <c r="A36" s="13" t="s">
        <v>69</v>
      </c>
      <c r="B36" s="13"/>
      <c r="C36" s="13"/>
      <c r="D36" s="13"/>
      <c r="E36" s="9" t="n">
        <f aca="false">E34+E35</f>
        <v>8455</v>
      </c>
      <c r="F36" s="9"/>
    </row>
    <row r="37" customFormat="false" ht="15" hidden="false" customHeight="false" outlineLevel="0" collapsed="false">
      <c r="A37" s="13" t="s">
        <v>70</v>
      </c>
      <c r="B37" s="13"/>
      <c r="C37" s="13"/>
      <c r="D37" s="13"/>
      <c r="E37" s="14" t="n">
        <v>0.15</v>
      </c>
      <c r="F37" s="14"/>
    </row>
    <row r="38" customFormat="false" ht="15" hidden="false" customHeight="false" outlineLevel="0" collapsed="false">
      <c r="A38" s="13" t="s">
        <v>71</v>
      </c>
      <c r="B38" s="13"/>
      <c r="C38" s="13"/>
      <c r="D38" s="13"/>
      <c r="E38" s="9" t="n">
        <f aca="false">E36*E37</f>
        <v>1268.25</v>
      </c>
      <c r="F38" s="9"/>
    </row>
    <row r="39" customFormat="false" ht="15" hidden="false" customHeight="false" outlineLevel="0" collapsed="false">
      <c r="A39" s="15" t="s">
        <v>72</v>
      </c>
      <c r="B39" s="15"/>
      <c r="C39" s="15"/>
      <c r="D39" s="15"/>
      <c r="E39" s="16" t="n">
        <f aca="false">E36+E38</f>
        <v>9723.25</v>
      </c>
      <c r="F39" s="16"/>
    </row>
    <row r="40" customFormat="false" ht="15" hidden="false" customHeight="false" outlineLevel="0" collapsed="false">
      <c r="A40" s="13" t="s">
        <v>73</v>
      </c>
      <c r="B40" s="13"/>
      <c r="C40" s="13"/>
      <c r="D40" s="13"/>
      <c r="E40" s="14" t="n">
        <v>0.4</v>
      </c>
      <c r="F40" s="14"/>
    </row>
    <row r="41" customFormat="false" ht="15" hidden="false" customHeight="false" outlineLevel="0" collapsed="false">
      <c r="A41" s="13" t="s">
        <v>74</v>
      </c>
      <c r="B41" s="13"/>
      <c r="C41" s="13"/>
      <c r="D41" s="13"/>
      <c r="E41" s="9" t="n">
        <f aca="false">E39*E40</f>
        <v>3889.3</v>
      </c>
      <c r="F41" s="9"/>
    </row>
    <row r="42" customFormat="false" ht="15" hidden="false" customHeight="false" outlineLevel="0" collapsed="false">
      <c r="A42" s="17" t="s">
        <v>75</v>
      </c>
      <c r="B42" s="17"/>
      <c r="C42" s="17"/>
      <c r="D42" s="17"/>
      <c r="E42" s="18" t="n">
        <f aca="false">E39+E41</f>
        <v>13612.55</v>
      </c>
      <c r="F42" s="18"/>
    </row>
    <row r="44" customFormat="false" ht="30" hidden="false" customHeight="true" outlineLevel="0" collapsed="false">
      <c r="A44" s="19" t="s">
        <v>76</v>
      </c>
      <c r="B44" s="19"/>
      <c r="C44" s="19"/>
      <c r="D44" s="19"/>
      <c r="E44" s="19"/>
      <c r="F44" s="19"/>
      <c r="G44" s="19"/>
    </row>
  </sheetData>
  <mergeCells count="24">
    <mergeCell ref="A1:G1"/>
    <mergeCell ref="B3:D3"/>
    <mergeCell ref="B4:D4"/>
    <mergeCell ref="B5:D5"/>
    <mergeCell ref="B6:D6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112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113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114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17</v>
      </c>
      <c r="C10" s="6" t="s">
        <v>18</v>
      </c>
      <c r="D10" s="5" t="s">
        <v>19</v>
      </c>
      <c r="E10" s="7" t="n">
        <v>1.3</v>
      </c>
      <c r="F10" s="8" t="n">
        <v>850</v>
      </c>
      <c r="G10" s="9" t="n">
        <f aca="false">E10*F10</f>
        <v>1105</v>
      </c>
    </row>
    <row r="11" customFormat="false" ht="15" hidden="false" customHeight="false" outlineLevel="0" collapsed="false">
      <c r="A11" s="5" t="n">
        <v>2</v>
      </c>
      <c r="B11" s="5" t="s">
        <v>20</v>
      </c>
      <c r="C11" s="6" t="s">
        <v>21</v>
      </c>
      <c r="D11" s="5" t="s">
        <v>19</v>
      </c>
      <c r="E11" s="7" t="n">
        <v>0.2</v>
      </c>
      <c r="F11" s="8" t="n">
        <v>220</v>
      </c>
      <c r="G11" s="9" t="n">
        <f aca="false">E11*F11</f>
        <v>44</v>
      </c>
    </row>
    <row r="12" customFormat="false" ht="15" hidden="false" customHeight="false" outlineLevel="0" collapsed="false">
      <c r="A12" s="5" t="n">
        <v>3</v>
      </c>
      <c r="B12" s="5" t="s">
        <v>105</v>
      </c>
      <c r="C12" s="6" t="s">
        <v>106</v>
      </c>
      <c r="D12" s="5" t="s">
        <v>19</v>
      </c>
      <c r="E12" s="7" t="n">
        <v>0.45</v>
      </c>
      <c r="F12" s="8" t="n">
        <v>3500</v>
      </c>
      <c r="G12" s="9" t="n">
        <f aca="false">E12*F12</f>
        <v>1575</v>
      </c>
    </row>
    <row r="13" customFormat="false" ht="15" hidden="false" customHeight="false" outlineLevel="0" collapsed="false">
      <c r="A13" s="5" t="n">
        <v>4</v>
      </c>
      <c r="B13" s="5" t="s">
        <v>22</v>
      </c>
      <c r="C13" s="6" t="s">
        <v>23</v>
      </c>
      <c r="D13" s="5" t="s">
        <v>24</v>
      </c>
      <c r="E13" s="7" t="n">
        <v>8</v>
      </c>
      <c r="F13" s="8" t="n">
        <v>15</v>
      </c>
      <c r="G13" s="9" t="n">
        <f aca="false">E13*F13</f>
        <v>120</v>
      </c>
    </row>
    <row r="14" customFormat="false" ht="15" hidden="false" customHeight="false" outlineLevel="0" collapsed="false">
      <c r="A14" s="5" t="n">
        <v>5</v>
      </c>
      <c r="B14" s="5" t="s">
        <v>25</v>
      </c>
      <c r="C14" s="6" t="s">
        <v>26</v>
      </c>
      <c r="D14" s="5" t="s">
        <v>24</v>
      </c>
      <c r="E14" s="7" t="n">
        <v>3</v>
      </c>
      <c r="F14" s="8" t="n">
        <v>45</v>
      </c>
      <c r="G14" s="9" t="n">
        <f aca="false">E14*F14</f>
        <v>135</v>
      </c>
    </row>
    <row r="15" customFormat="false" ht="15" hidden="false" customHeight="false" outlineLevel="0" collapsed="false">
      <c r="A15" s="5" t="n">
        <v>6</v>
      </c>
      <c r="B15" s="5" t="s">
        <v>107</v>
      </c>
      <c r="C15" s="6" t="s">
        <v>108</v>
      </c>
      <c r="D15" s="5" t="s">
        <v>29</v>
      </c>
      <c r="E15" s="7" t="n">
        <v>2</v>
      </c>
      <c r="F15" s="8" t="n">
        <v>180</v>
      </c>
      <c r="G15" s="9" t="n">
        <f aca="false">E15*F15</f>
        <v>360</v>
      </c>
    </row>
    <row r="16" customFormat="false" ht="15" hidden="false" customHeight="false" outlineLevel="0" collapsed="false">
      <c r="A16" s="5" t="n">
        <v>7</v>
      </c>
      <c r="B16" s="5" t="s">
        <v>82</v>
      </c>
      <c r="C16" s="6" t="s">
        <v>83</v>
      </c>
      <c r="D16" s="5" t="s">
        <v>29</v>
      </c>
      <c r="E16" s="7" t="n">
        <v>1</v>
      </c>
      <c r="F16" s="8" t="n">
        <v>120</v>
      </c>
      <c r="G16" s="9" t="n">
        <f aca="false">E16*F16</f>
        <v>120</v>
      </c>
    </row>
    <row r="17" customFormat="false" ht="15" hidden="false" customHeight="false" outlineLevel="0" collapsed="false">
      <c r="A17" s="5" t="n">
        <v>8</v>
      </c>
      <c r="B17" s="5" t="s">
        <v>115</v>
      </c>
      <c r="C17" s="6" t="s">
        <v>116</v>
      </c>
      <c r="D17" s="5" t="s">
        <v>36</v>
      </c>
      <c r="E17" s="7" t="n">
        <v>1</v>
      </c>
      <c r="F17" s="8" t="n">
        <v>150</v>
      </c>
      <c r="G17" s="9" t="n">
        <f aca="false">E17*F17</f>
        <v>150</v>
      </c>
    </row>
    <row r="18" customFormat="false" ht="15" hidden="false" customHeight="false" outlineLevel="0" collapsed="false">
      <c r="A18" s="5" t="n">
        <v>9</v>
      </c>
      <c r="B18" s="5" t="s">
        <v>117</v>
      </c>
      <c r="C18" s="6" t="s">
        <v>118</v>
      </c>
      <c r="D18" s="5" t="s">
        <v>29</v>
      </c>
      <c r="E18" s="7" t="n">
        <v>4</v>
      </c>
      <c r="F18" s="8" t="n">
        <v>5</v>
      </c>
      <c r="G18" s="9" t="n">
        <f aca="false">E18*F18</f>
        <v>20</v>
      </c>
    </row>
    <row r="19" customFormat="false" ht="15" hidden="false" customHeight="false" outlineLevel="0" collapsed="false">
      <c r="A19" s="5" t="n">
        <v>10</v>
      </c>
      <c r="B19" s="5" t="s">
        <v>30</v>
      </c>
      <c r="C19" s="6" t="s">
        <v>31</v>
      </c>
      <c r="D19" s="5" t="s">
        <v>29</v>
      </c>
      <c r="E19" s="7" t="n">
        <v>10</v>
      </c>
      <c r="F19" s="8" t="n">
        <v>5</v>
      </c>
      <c r="G19" s="9" t="n">
        <f aca="false">E19*F19</f>
        <v>50</v>
      </c>
    </row>
    <row r="20" customFormat="false" ht="15" hidden="false" customHeight="false" outlineLevel="0" collapsed="false">
      <c r="A20" s="5" t="n">
        <v>11</v>
      </c>
      <c r="B20" s="5" t="s">
        <v>32</v>
      </c>
      <c r="C20" s="6" t="s">
        <v>33</v>
      </c>
      <c r="D20" s="5" t="s">
        <v>29</v>
      </c>
      <c r="E20" s="7" t="n">
        <v>6</v>
      </c>
      <c r="F20" s="8" t="n">
        <v>3</v>
      </c>
      <c r="G20" s="9" t="n">
        <f aca="false">E20*F20</f>
        <v>18</v>
      </c>
    </row>
    <row r="21" customFormat="false" ht="15" hidden="false" customHeight="false" outlineLevel="0" collapsed="false">
      <c r="A21" s="5" t="n">
        <v>12</v>
      </c>
      <c r="B21" s="5" t="s">
        <v>43</v>
      </c>
      <c r="C21" s="6" t="s">
        <v>44</v>
      </c>
      <c r="D21" s="5" t="s">
        <v>29</v>
      </c>
      <c r="E21" s="7" t="n">
        <v>10</v>
      </c>
      <c r="F21" s="8" t="n">
        <v>3</v>
      </c>
      <c r="G21" s="9" t="n">
        <f aca="false">E21*F21</f>
        <v>30</v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1" t="s">
        <v>45</v>
      </c>
      <c r="G22" s="12" t="n">
        <f aca="false">SUM(G10:G21)</f>
        <v>3727</v>
      </c>
    </row>
    <row r="24" customFormat="false" ht="15" hidden="false" customHeight="false" outlineLevel="0" collapsed="false">
      <c r="A24" s="2" t="s">
        <v>46</v>
      </c>
    </row>
    <row r="25" customFormat="false" ht="52.2" hidden="false" customHeight="false" outlineLevel="0" collapsed="false">
      <c r="A25" s="4" t="s">
        <v>10</v>
      </c>
      <c r="B25" s="4" t="s">
        <v>11</v>
      </c>
      <c r="C25" s="4" t="s">
        <v>47</v>
      </c>
      <c r="D25" s="4" t="s">
        <v>48</v>
      </c>
      <c r="E25" s="4" t="s">
        <v>49</v>
      </c>
      <c r="F25" s="4" t="s">
        <v>50</v>
      </c>
    </row>
    <row r="26" customFormat="false" ht="15" hidden="false" customHeight="false" outlineLevel="0" collapsed="false">
      <c r="A26" s="5" t="n">
        <v>1</v>
      </c>
      <c r="B26" s="5" t="s">
        <v>51</v>
      </c>
      <c r="C26" s="6" t="s">
        <v>52</v>
      </c>
      <c r="D26" s="7" t="n">
        <v>0.3</v>
      </c>
      <c r="E26" s="8" t="n">
        <v>900</v>
      </c>
      <c r="F26" s="9" t="n">
        <f aca="false">D26*E26</f>
        <v>270</v>
      </c>
    </row>
    <row r="27" customFormat="false" ht="15" hidden="false" customHeight="false" outlineLevel="0" collapsed="false">
      <c r="A27" s="5" t="n">
        <v>2</v>
      </c>
      <c r="B27" s="5" t="s">
        <v>53</v>
      </c>
      <c r="C27" s="6" t="s">
        <v>54</v>
      </c>
      <c r="D27" s="7" t="n">
        <v>0.25</v>
      </c>
      <c r="E27" s="8" t="n">
        <v>800</v>
      </c>
      <c r="F27" s="9" t="n">
        <f aca="false">D27*E27</f>
        <v>200</v>
      </c>
    </row>
    <row r="28" customFormat="false" ht="15" hidden="false" customHeight="false" outlineLevel="0" collapsed="false">
      <c r="A28" s="5" t="n">
        <v>3</v>
      </c>
      <c r="B28" s="5" t="s">
        <v>55</v>
      </c>
      <c r="C28" s="6" t="s">
        <v>56</v>
      </c>
      <c r="D28" s="7" t="n">
        <v>0.2</v>
      </c>
      <c r="E28" s="8" t="n">
        <v>850</v>
      </c>
      <c r="F28" s="9" t="n">
        <f aca="false">D28*E28</f>
        <v>170</v>
      </c>
    </row>
    <row r="29" customFormat="false" ht="15" hidden="false" customHeight="false" outlineLevel="0" collapsed="false">
      <c r="A29" s="5" t="n">
        <v>4</v>
      </c>
      <c r="B29" s="5" t="s">
        <v>57</v>
      </c>
      <c r="C29" s="6" t="s">
        <v>58</v>
      </c>
      <c r="D29" s="7" t="n">
        <v>0.6</v>
      </c>
      <c r="E29" s="8" t="n">
        <v>700</v>
      </c>
      <c r="F29" s="9" t="n">
        <f aca="false">D29*E29</f>
        <v>420</v>
      </c>
    </row>
    <row r="30" customFormat="false" ht="15" hidden="false" customHeight="false" outlineLevel="0" collapsed="false">
      <c r="A30" s="5" t="n">
        <v>5</v>
      </c>
      <c r="B30" s="5" t="s">
        <v>59</v>
      </c>
      <c r="C30" s="6" t="s">
        <v>60</v>
      </c>
      <c r="D30" s="7" t="n">
        <v>0.35</v>
      </c>
      <c r="E30" s="8" t="n">
        <v>700</v>
      </c>
      <c r="F30" s="9" t="n">
        <f aca="false">D30*E30</f>
        <v>245</v>
      </c>
    </row>
    <row r="31" customFormat="false" ht="15" hidden="false" customHeight="false" outlineLevel="0" collapsed="false">
      <c r="A31" s="5" t="n">
        <v>6</v>
      </c>
      <c r="B31" s="5" t="s">
        <v>61</v>
      </c>
      <c r="C31" s="6" t="s">
        <v>62</v>
      </c>
      <c r="D31" s="7" t="n">
        <v>0.15</v>
      </c>
      <c r="E31" s="8" t="n">
        <v>500</v>
      </c>
      <c r="F31" s="9" t="n">
        <f aca="false">D31*E31</f>
        <v>75</v>
      </c>
    </row>
    <row r="32" customFormat="false" ht="15" hidden="false" customHeight="false" outlineLevel="0" collapsed="false">
      <c r="A32" s="5" t="n">
        <v>7</v>
      </c>
      <c r="B32" s="5" t="s">
        <v>63</v>
      </c>
      <c r="C32" s="6" t="s">
        <v>64</v>
      </c>
      <c r="D32" s="7" t="n">
        <v>0.3</v>
      </c>
      <c r="E32" s="8" t="n">
        <v>900</v>
      </c>
      <c r="F32" s="9" t="n">
        <f aca="false">D32*E32</f>
        <v>270</v>
      </c>
    </row>
    <row r="33" customFormat="false" ht="15" hidden="false" customHeight="false" outlineLevel="0" collapsed="false">
      <c r="A33" s="10"/>
      <c r="B33" s="10"/>
      <c r="C33" s="10"/>
      <c r="D33" s="10"/>
      <c r="E33" s="11" t="s">
        <v>65</v>
      </c>
      <c r="F33" s="12" t="n">
        <f aca="false">SUM(F26:F32)</f>
        <v>1650</v>
      </c>
    </row>
    <row r="35" customFormat="false" ht="15" hidden="false" customHeight="false" outlineLevel="0" collapsed="false">
      <c r="A35" s="2" t="s">
        <v>66</v>
      </c>
    </row>
    <row r="36" customFormat="false" ht="15" hidden="false" customHeight="false" outlineLevel="0" collapsed="false">
      <c r="A36" s="13" t="s">
        <v>67</v>
      </c>
      <c r="B36" s="13"/>
      <c r="C36" s="13"/>
      <c r="D36" s="13"/>
      <c r="E36" s="9" t="n">
        <f aca="false">G22</f>
        <v>3727</v>
      </c>
      <c r="F36" s="9"/>
    </row>
    <row r="37" customFormat="false" ht="15" hidden="false" customHeight="false" outlineLevel="0" collapsed="false">
      <c r="A37" s="13" t="s">
        <v>68</v>
      </c>
      <c r="B37" s="13"/>
      <c r="C37" s="13"/>
      <c r="D37" s="13"/>
      <c r="E37" s="9" t="n">
        <f aca="false">F33</f>
        <v>1650</v>
      </c>
      <c r="F37" s="9"/>
    </row>
    <row r="38" customFormat="false" ht="15" hidden="false" customHeight="false" outlineLevel="0" collapsed="false">
      <c r="A38" s="13" t="s">
        <v>69</v>
      </c>
      <c r="B38" s="13"/>
      <c r="C38" s="13"/>
      <c r="D38" s="13"/>
      <c r="E38" s="9" t="n">
        <f aca="false">E36+E37</f>
        <v>5377</v>
      </c>
      <c r="F38" s="9"/>
    </row>
    <row r="39" customFormat="false" ht="15" hidden="false" customHeight="false" outlineLevel="0" collapsed="false">
      <c r="A39" s="13" t="s">
        <v>70</v>
      </c>
      <c r="B39" s="13"/>
      <c r="C39" s="13"/>
      <c r="D39" s="13"/>
      <c r="E39" s="14" t="n">
        <v>0.15</v>
      </c>
      <c r="F39" s="14"/>
    </row>
    <row r="40" customFormat="false" ht="15" hidden="false" customHeight="false" outlineLevel="0" collapsed="false">
      <c r="A40" s="13" t="s">
        <v>71</v>
      </c>
      <c r="B40" s="13"/>
      <c r="C40" s="13"/>
      <c r="D40" s="13"/>
      <c r="E40" s="9" t="n">
        <f aca="false">E38*E39</f>
        <v>806.55</v>
      </c>
      <c r="F40" s="9"/>
    </row>
    <row r="41" customFormat="false" ht="15" hidden="false" customHeight="false" outlineLevel="0" collapsed="false">
      <c r="A41" s="15" t="s">
        <v>72</v>
      </c>
      <c r="B41" s="15"/>
      <c r="C41" s="15"/>
      <c r="D41" s="15"/>
      <c r="E41" s="16" t="n">
        <f aca="false">E38+E40</f>
        <v>6183.55</v>
      </c>
      <c r="F41" s="16"/>
    </row>
    <row r="42" customFormat="false" ht="15" hidden="false" customHeight="false" outlineLevel="0" collapsed="false">
      <c r="A42" s="13" t="s">
        <v>73</v>
      </c>
      <c r="B42" s="13"/>
      <c r="C42" s="13"/>
      <c r="D42" s="13"/>
      <c r="E42" s="14" t="n">
        <v>0.4</v>
      </c>
      <c r="F42" s="14"/>
    </row>
    <row r="43" customFormat="false" ht="15" hidden="false" customHeight="false" outlineLevel="0" collapsed="false">
      <c r="A43" s="13" t="s">
        <v>74</v>
      </c>
      <c r="B43" s="13"/>
      <c r="C43" s="13"/>
      <c r="D43" s="13"/>
      <c r="E43" s="9" t="n">
        <f aca="false">E41*E42</f>
        <v>2473.42</v>
      </c>
      <c r="F43" s="9"/>
    </row>
    <row r="44" customFormat="false" ht="15" hidden="false" customHeight="false" outlineLevel="0" collapsed="false">
      <c r="A44" s="17" t="s">
        <v>75</v>
      </c>
      <c r="B44" s="17"/>
      <c r="C44" s="17"/>
      <c r="D44" s="17"/>
      <c r="E44" s="18" t="n">
        <f aca="false">E41+E43</f>
        <v>8656.97</v>
      </c>
      <c r="F44" s="18"/>
    </row>
    <row r="46" customFormat="false" ht="30" hidden="false" customHeight="true" outlineLevel="0" collapsed="false">
      <c r="A46" s="19" t="s">
        <v>76</v>
      </c>
      <c r="B46" s="19"/>
      <c r="C46" s="19"/>
      <c r="D46" s="19"/>
      <c r="E46" s="19"/>
      <c r="F46" s="19"/>
      <c r="G46" s="19"/>
    </row>
  </sheetData>
  <mergeCells count="24">
    <mergeCell ref="A1:G1"/>
    <mergeCell ref="B3:D3"/>
    <mergeCell ref="B4:D4"/>
    <mergeCell ref="B5:D5"/>
    <mergeCell ref="B6:D6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119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120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121</v>
      </c>
      <c r="C5" s="3"/>
      <c r="D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</row>
    <row r="8" customFormat="false" ht="15" hidden="false" customHeight="false" outlineLevel="0" collapsed="false">
      <c r="A8" s="2" t="s">
        <v>9</v>
      </c>
    </row>
    <row r="9" customFormat="false" ht="39.5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</row>
    <row r="10" customFormat="false" ht="15" hidden="false" customHeight="false" outlineLevel="0" collapsed="false">
      <c r="A10" s="5" t="n">
        <v>1</v>
      </c>
      <c r="B10" s="5" t="s">
        <v>17</v>
      </c>
      <c r="C10" s="6" t="s">
        <v>18</v>
      </c>
      <c r="D10" s="5" t="s">
        <v>19</v>
      </c>
      <c r="E10" s="7" t="n">
        <v>4.2</v>
      </c>
      <c r="F10" s="8" t="n">
        <v>850</v>
      </c>
      <c r="G10" s="9" t="n">
        <f aca="false">E10*F10</f>
        <v>3570</v>
      </c>
    </row>
    <row r="11" customFormat="false" ht="15" hidden="false" customHeight="false" outlineLevel="0" collapsed="false">
      <c r="A11" s="5" t="n">
        <v>2</v>
      </c>
      <c r="B11" s="5" t="s">
        <v>20</v>
      </c>
      <c r="C11" s="6" t="s">
        <v>21</v>
      </c>
      <c r="D11" s="5" t="s">
        <v>19</v>
      </c>
      <c r="E11" s="7" t="n">
        <v>1.1</v>
      </c>
      <c r="F11" s="8" t="n">
        <v>220</v>
      </c>
      <c r="G11" s="9" t="n">
        <f aca="false">E11*F11</f>
        <v>242</v>
      </c>
    </row>
    <row r="12" customFormat="false" ht="15" hidden="false" customHeight="false" outlineLevel="0" collapsed="false">
      <c r="A12" s="5" t="n">
        <v>3</v>
      </c>
      <c r="B12" s="5" t="s">
        <v>22</v>
      </c>
      <c r="C12" s="6" t="s">
        <v>23</v>
      </c>
      <c r="D12" s="5" t="s">
        <v>24</v>
      </c>
      <c r="E12" s="7" t="n">
        <v>26</v>
      </c>
      <c r="F12" s="8" t="n">
        <v>15</v>
      </c>
      <c r="G12" s="9" t="n">
        <f aca="false">E12*F12</f>
        <v>390</v>
      </c>
    </row>
    <row r="13" customFormat="false" ht="15" hidden="false" customHeight="false" outlineLevel="0" collapsed="false">
      <c r="A13" s="5" t="n">
        <v>4</v>
      </c>
      <c r="B13" s="5" t="s">
        <v>25</v>
      </c>
      <c r="C13" s="6" t="s">
        <v>26</v>
      </c>
      <c r="D13" s="5" t="s">
        <v>24</v>
      </c>
      <c r="E13" s="7" t="n">
        <v>7</v>
      </c>
      <c r="F13" s="8" t="n">
        <v>45</v>
      </c>
      <c r="G13" s="9" t="n">
        <f aca="false">E13*F13</f>
        <v>315</v>
      </c>
    </row>
    <row r="14" customFormat="false" ht="15" hidden="false" customHeight="false" outlineLevel="0" collapsed="false">
      <c r="A14" s="5" t="n">
        <v>5</v>
      </c>
      <c r="B14" s="5" t="s">
        <v>107</v>
      </c>
      <c r="C14" s="6" t="s">
        <v>108</v>
      </c>
      <c r="D14" s="5" t="s">
        <v>29</v>
      </c>
      <c r="E14" s="7" t="n">
        <v>3</v>
      </c>
      <c r="F14" s="8" t="n">
        <v>180</v>
      </c>
      <c r="G14" s="9" t="n">
        <f aca="false">E14*F14</f>
        <v>540</v>
      </c>
    </row>
    <row r="15" customFormat="false" ht="15" hidden="false" customHeight="false" outlineLevel="0" collapsed="false">
      <c r="A15" s="5" t="n">
        <v>6</v>
      </c>
      <c r="B15" s="5" t="s">
        <v>82</v>
      </c>
      <c r="C15" s="6" t="s">
        <v>83</v>
      </c>
      <c r="D15" s="5" t="s">
        <v>29</v>
      </c>
      <c r="E15" s="7" t="n">
        <v>1</v>
      </c>
      <c r="F15" s="8" t="n">
        <v>120</v>
      </c>
      <c r="G15" s="9" t="n">
        <f aca="false">E15*F15</f>
        <v>120</v>
      </c>
    </row>
    <row r="16" customFormat="false" ht="15" hidden="false" customHeight="false" outlineLevel="0" collapsed="false">
      <c r="A16" s="5" t="n">
        <v>7</v>
      </c>
      <c r="B16" s="5" t="s">
        <v>27</v>
      </c>
      <c r="C16" s="6" t="s">
        <v>28</v>
      </c>
      <c r="D16" s="5" t="s">
        <v>29</v>
      </c>
      <c r="E16" s="7" t="n">
        <v>4</v>
      </c>
      <c r="F16" s="8" t="n">
        <v>35</v>
      </c>
      <c r="G16" s="9" t="n">
        <f aca="false">E16*F16</f>
        <v>140</v>
      </c>
    </row>
    <row r="17" customFormat="false" ht="15" hidden="false" customHeight="false" outlineLevel="0" collapsed="false">
      <c r="A17" s="5" t="n">
        <v>8</v>
      </c>
      <c r="B17" s="5" t="s">
        <v>117</v>
      </c>
      <c r="C17" s="6" t="s">
        <v>118</v>
      </c>
      <c r="D17" s="5" t="s">
        <v>29</v>
      </c>
      <c r="E17" s="7" t="n">
        <v>8</v>
      </c>
      <c r="F17" s="8" t="n">
        <v>5</v>
      </c>
      <c r="G17" s="9" t="n">
        <f aca="false">E17*F17</f>
        <v>40</v>
      </c>
    </row>
    <row r="18" customFormat="false" ht="15" hidden="false" customHeight="false" outlineLevel="0" collapsed="false">
      <c r="A18" s="5" t="n">
        <v>9</v>
      </c>
      <c r="B18" s="5" t="s">
        <v>39</v>
      </c>
      <c r="C18" s="6" t="s">
        <v>40</v>
      </c>
      <c r="D18" s="5" t="s">
        <v>29</v>
      </c>
      <c r="E18" s="7" t="n">
        <v>1</v>
      </c>
      <c r="F18" s="8" t="n">
        <v>350</v>
      </c>
      <c r="G18" s="9" t="n">
        <f aca="false">E18*F18</f>
        <v>350</v>
      </c>
    </row>
    <row r="19" customFormat="false" ht="15" hidden="false" customHeight="false" outlineLevel="0" collapsed="false">
      <c r="A19" s="5" t="n">
        <v>10</v>
      </c>
      <c r="B19" s="5" t="s">
        <v>41</v>
      </c>
      <c r="C19" s="6" t="s">
        <v>42</v>
      </c>
      <c r="D19" s="5" t="s">
        <v>36</v>
      </c>
      <c r="E19" s="7" t="n">
        <v>1</v>
      </c>
      <c r="F19" s="8" t="n">
        <v>150</v>
      </c>
      <c r="G19" s="9" t="n">
        <f aca="false">E19*F19</f>
        <v>150</v>
      </c>
    </row>
    <row r="20" customFormat="false" ht="15" hidden="false" customHeight="false" outlineLevel="0" collapsed="false">
      <c r="A20" s="5" t="n">
        <v>11</v>
      </c>
      <c r="B20" s="5" t="s">
        <v>30</v>
      </c>
      <c r="C20" s="6" t="s">
        <v>31</v>
      </c>
      <c r="D20" s="5" t="s">
        <v>29</v>
      </c>
      <c r="E20" s="7" t="n">
        <v>24</v>
      </c>
      <c r="F20" s="8" t="n">
        <v>5</v>
      </c>
      <c r="G20" s="9" t="n">
        <f aca="false">E20*F20</f>
        <v>120</v>
      </c>
    </row>
    <row r="21" customFormat="false" ht="15" hidden="false" customHeight="false" outlineLevel="0" collapsed="false">
      <c r="A21" s="5" t="n">
        <v>12</v>
      </c>
      <c r="B21" s="5" t="s">
        <v>32</v>
      </c>
      <c r="C21" s="6" t="s">
        <v>33</v>
      </c>
      <c r="D21" s="5" t="s">
        <v>29</v>
      </c>
      <c r="E21" s="7" t="n">
        <v>14</v>
      </c>
      <c r="F21" s="8" t="n">
        <v>3</v>
      </c>
      <c r="G21" s="9" t="n">
        <f aca="false">E21*F21</f>
        <v>42</v>
      </c>
    </row>
    <row r="22" customFormat="false" ht="15" hidden="false" customHeight="false" outlineLevel="0" collapsed="false">
      <c r="A22" s="5" t="n">
        <v>13</v>
      </c>
      <c r="B22" s="5" t="s">
        <v>43</v>
      </c>
      <c r="C22" s="6" t="s">
        <v>44</v>
      </c>
      <c r="D22" s="5" t="s">
        <v>29</v>
      </c>
      <c r="E22" s="7" t="n">
        <v>24</v>
      </c>
      <c r="F22" s="8" t="n">
        <v>3</v>
      </c>
      <c r="G22" s="9" t="n">
        <f aca="false">E22*F22</f>
        <v>72</v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1" t="s">
        <v>45</v>
      </c>
      <c r="G23" s="12" t="n">
        <f aca="false">SUM(G10:G22)</f>
        <v>6091</v>
      </c>
    </row>
    <row r="25" customFormat="false" ht="15" hidden="false" customHeight="false" outlineLevel="0" collapsed="false">
      <c r="A25" s="2" t="s">
        <v>46</v>
      </c>
    </row>
    <row r="26" customFormat="false" ht="52.2" hidden="false" customHeight="false" outlineLevel="0" collapsed="false">
      <c r="A26" s="4" t="s">
        <v>10</v>
      </c>
      <c r="B26" s="4" t="s">
        <v>11</v>
      </c>
      <c r="C26" s="4" t="s">
        <v>47</v>
      </c>
      <c r="D26" s="4" t="s">
        <v>48</v>
      </c>
      <c r="E26" s="4" t="s">
        <v>49</v>
      </c>
      <c r="F26" s="4" t="s">
        <v>50</v>
      </c>
    </row>
    <row r="27" customFormat="false" ht="15" hidden="false" customHeight="false" outlineLevel="0" collapsed="false">
      <c r="A27" s="5" t="n">
        <v>1</v>
      </c>
      <c r="B27" s="5" t="s">
        <v>51</v>
      </c>
      <c r="C27" s="6" t="s">
        <v>52</v>
      </c>
      <c r="D27" s="7" t="n">
        <v>0.7</v>
      </c>
      <c r="E27" s="8" t="n">
        <v>900</v>
      </c>
      <c r="F27" s="9" t="n">
        <f aca="false">D27*E27</f>
        <v>630</v>
      </c>
    </row>
    <row r="28" customFormat="false" ht="15" hidden="false" customHeight="false" outlineLevel="0" collapsed="false">
      <c r="A28" s="5" t="n">
        <v>2</v>
      </c>
      <c r="B28" s="5" t="s">
        <v>53</v>
      </c>
      <c r="C28" s="6" t="s">
        <v>54</v>
      </c>
      <c r="D28" s="7" t="n">
        <v>0.6</v>
      </c>
      <c r="E28" s="8" t="n">
        <v>800</v>
      </c>
      <c r="F28" s="9" t="n">
        <f aca="false">D28*E28</f>
        <v>480</v>
      </c>
    </row>
    <row r="29" customFormat="false" ht="15" hidden="false" customHeight="false" outlineLevel="0" collapsed="false">
      <c r="A29" s="5" t="n">
        <v>3</v>
      </c>
      <c r="B29" s="5" t="s">
        <v>55</v>
      </c>
      <c r="C29" s="6" t="s">
        <v>56</v>
      </c>
      <c r="D29" s="7" t="n">
        <v>0.5</v>
      </c>
      <c r="E29" s="8" t="n">
        <v>850</v>
      </c>
      <c r="F29" s="9" t="n">
        <f aca="false">D29*E29</f>
        <v>425</v>
      </c>
    </row>
    <row r="30" customFormat="false" ht="15" hidden="false" customHeight="false" outlineLevel="0" collapsed="false">
      <c r="A30" s="5" t="n">
        <v>4</v>
      </c>
      <c r="B30" s="5" t="s">
        <v>57</v>
      </c>
      <c r="C30" s="6" t="s">
        <v>58</v>
      </c>
      <c r="D30" s="7" t="n">
        <v>1.6</v>
      </c>
      <c r="E30" s="8" t="n">
        <v>700</v>
      </c>
      <c r="F30" s="9" t="n">
        <f aca="false">D30*E30</f>
        <v>1120</v>
      </c>
    </row>
    <row r="31" customFormat="false" ht="15" hidden="false" customHeight="false" outlineLevel="0" collapsed="false">
      <c r="A31" s="5" t="n">
        <v>5</v>
      </c>
      <c r="B31" s="5" t="s">
        <v>59</v>
      </c>
      <c r="C31" s="6" t="s">
        <v>60</v>
      </c>
      <c r="D31" s="7" t="n">
        <v>0.8</v>
      </c>
      <c r="E31" s="8" t="n">
        <v>700</v>
      </c>
      <c r="F31" s="9" t="n">
        <f aca="false">D31*E31</f>
        <v>560</v>
      </c>
    </row>
    <row r="32" customFormat="false" ht="15" hidden="false" customHeight="false" outlineLevel="0" collapsed="false">
      <c r="A32" s="5" t="n">
        <v>6</v>
      </c>
      <c r="B32" s="5" t="s">
        <v>61</v>
      </c>
      <c r="C32" s="6" t="s">
        <v>62</v>
      </c>
      <c r="D32" s="7" t="n">
        <v>0.3</v>
      </c>
      <c r="E32" s="8" t="n">
        <v>500</v>
      </c>
      <c r="F32" s="9" t="n">
        <f aca="false">D32*E32</f>
        <v>150</v>
      </c>
    </row>
    <row r="33" customFormat="false" ht="15" hidden="false" customHeight="false" outlineLevel="0" collapsed="false">
      <c r="A33" s="5" t="n">
        <v>7</v>
      </c>
      <c r="B33" s="5" t="s">
        <v>63</v>
      </c>
      <c r="C33" s="6" t="s">
        <v>64</v>
      </c>
      <c r="D33" s="7" t="n">
        <v>0.6</v>
      </c>
      <c r="E33" s="8" t="n">
        <v>900</v>
      </c>
      <c r="F33" s="9" t="n">
        <f aca="false">D33*E33</f>
        <v>540</v>
      </c>
    </row>
    <row r="34" customFormat="false" ht="15" hidden="false" customHeight="false" outlineLevel="0" collapsed="false">
      <c r="A34" s="10"/>
      <c r="B34" s="10"/>
      <c r="C34" s="10"/>
      <c r="D34" s="10"/>
      <c r="E34" s="11" t="s">
        <v>65</v>
      </c>
      <c r="F34" s="12" t="n">
        <f aca="false">SUM(F27:F33)</f>
        <v>3905</v>
      </c>
    </row>
    <row r="36" customFormat="false" ht="15" hidden="false" customHeight="false" outlineLevel="0" collapsed="false">
      <c r="A36" s="2" t="s">
        <v>66</v>
      </c>
    </row>
    <row r="37" customFormat="false" ht="15" hidden="false" customHeight="false" outlineLevel="0" collapsed="false">
      <c r="A37" s="13" t="s">
        <v>67</v>
      </c>
      <c r="B37" s="13"/>
      <c r="C37" s="13"/>
      <c r="D37" s="13"/>
      <c r="E37" s="9" t="n">
        <f aca="false">G23</f>
        <v>6091</v>
      </c>
      <c r="F37" s="9"/>
    </row>
    <row r="38" customFormat="false" ht="15" hidden="false" customHeight="false" outlineLevel="0" collapsed="false">
      <c r="A38" s="13" t="s">
        <v>68</v>
      </c>
      <c r="B38" s="13"/>
      <c r="C38" s="13"/>
      <c r="D38" s="13"/>
      <c r="E38" s="9" t="n">
        <f aca="false">F34</f>
        <v>3905</v>
      </c>
      <c r="F38" s="9"/>
    </row>
    <row r="39" customFormat="false" ht="15" hidden="false" customHeight="false" outlineLevel="0" collapsed="false">
      <c r="A39" s="13" t="s">
        <v>69</v>
      </c>
      <c r="B39" s="13"/>
      <c r="C39" s="13"/>
      <c r="D39" s="13"/>
      <c r="E39" s="9" t="n">
        <f aca="false">E37+E38</f>
        <v>9996</v>
      </c>
      <c r="F39" s="9"/>
    </row>
    <row r="40" customFormat="false" ht="15" hidden="false" customHeight="false" outlineLevel="0" collapsed="false">
      <c r="A40" s="13" t="s">
        <v>70</v>
      </c>
      <c r="B40" s="13"/>
      <c r="C40" s="13"/>
      <c r="D40" s="13"/>
      <c r="E40" s="14" t="n">
        <v>0.15</v>
      </c>
      <c r="F40" s="14"/>
    </row>
    <row r="41" customFormat="false" ht="15" hidden="false" customHeight="false" outlineLevel="0" collapsed="false">
      <c r="A41" s="13" t="s">
        <v>71</v>
      </c>
      <c r="B41" s="13"/>
      <c r="C41" s="13"/>
      <c r="D41" s="13"/>
      <c r="E41" s="9" t="n">
        <f aca="false">E39*E40</f>
        <v>1499.4</v>
      </c>
      <c r="F41" s="9"/>
    </row>
    <row r="42" customFormat="false" ht="15" hidden="false" customHeight="false" outlineLevel="0" collapsed="false">
      <c r="A42" s="15" t="s">
        <v>72</v>
      </c>
      <c r="B42" s="15"/>
      <c r="C42" s="15"/>
      <c r="D42" s="15"/>
      <c r="E42" s="16" t="n">
        <f aca="false">E39+E41</f>
        <v>11495.4</v>
      </c>
      <c r="F42" s="16"/>
    </row>
    <row r="43" customFormat="false" ht="15" hidden="false" customHeight="false" outlineLevel="0" collapsed="false">
      <c r="A43" s="13" t="s">
        <v>73</v>
      </c>
      <c r="B43" s="13"/>
      <c r="C43" s="13"/>
      <c r="D43" s="13"/>
      <c r="E43" s="14" t="n">
        <v>0.35</v>
      </c>
      <c r="F43" s="14"/>
    </row>
    <row r="44" customFormat="false" ht="15" hidden="false" customHeight="false" outlineLevel="0" collapsed="false">
      <c r="A44" s="13" t="s">
        <v>74</v>
      </c>
      <c r="B44" s="13"/>
      <c r="C44" s="13"/>
      <c r="D44" s="13"/>
      <c r="E44" s="9" t="n">
        <f aca="false">E42*E43</f>
        <v>4023.39</v>
      </c>
      <c r="F44" s="9"/>
    </row>
    <row r="45" customFormat="false" ht="15" hidden="false" customHeight="false" outlineLevel="0" collapsed="false">
      <c r="A45" s="17" t="s">
        <v>75</v>
      </c>
      <c r="B45" s="17"/>
      <c r="C45" s="17"/>
      <c r="D45" s="17"/>
      <c r="E45" s="18" t="n">
        <f aca="false">E42+E44</f>
        <v>15518.79</v>
      </c>
      <c r="F45" s="18"/>
    </row>
    <row r="47" customFormat="false" ht="30" hidden="false" customHeight="true" outlineLevel="0" collapsed="false">
      <c r="A47" s="19" t="s">
        <v>76</v>
      </c>
      <c r="B47" s="19"/>
      <c r="C47" s="19"/>
      <c r="D47" s="19"/>
      <c r="E47" s="19"/>
      <c r="F47" s="19"/>
      <c r="G47" s="19"/>
    </row>
  </sheetData>
  <mergeCells count="24">
    <mergeCell ref="A1:G1"/>
    <mergeCell ref="B3:D3"/>
    <mergeCell ref="B4:D4"/>
    <mergeCell ref="B5:D5"/>
    <mergeCell ref="B6:D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2026-07-20T06:11:33Z</dcterms:created>
  <dc:creator>openpyxl</dc:creator>
  <dc:description/>
  <dc:language>en-US</dc:language>
  <cp:lastModifiedBy/>
  <dcterms:modified xsi:type="dcterms:W3CDTF">2026-07-20T06:11:33Z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